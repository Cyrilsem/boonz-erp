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HOW TO USE" sheetId="1" state="visible" r:id="rId3"/>
    <sheet name="🔄 Refill &amp; Dispatch" sheetId="2" state="visible" r:id="rId4"/>
    <sheet name="📦 Procurement &amp; Stage 1" sheetId="3" state="visible" r:id="rId5"/>
    <sheet name="📝 Test Log" sheetId="4" state="visible" r:id="rId6"/>
    <sheet name="📊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<sst xmlns="http://schemas.openxmlformats.org/spreadsheetml/2006/main" count="623" uniqueCount="396">
  <si>
    <t xml:space="preserve">BOONZ SMART VENDING – FIELD ERP TEST PLAN</t>
  </si>
  <si>
    <t xml:space="preserve">Daily Refill &amp; Dispatching  |  Procurement  |  Stage 1 (B1 Audit / B2 Receive / B3 Return)</t>
  </si>
  <si>
    <t xml:space="preserve">System</t>
  </si>
  <si>
    <t xml:space="preserve">Boonz ERP</t>
  </si>
  <si>
    <t xml:space="preserve">Field Portal URL</t>
  </si>
  <si>
    <t xml:space="preserve">https://boonz-erp.vercel.app/field</t>
  </si>
  <si>
    <t xml:space="preserve">Prepared by</t>
  </si>
  <si>
    <t xml:space="preserve">Cyril Semaan</t>
  </si>
  <si>
    <t xml:space="preserve">Test Date Range</t>
  </si>
  <si>
    <t xml:space="preserve">________________</t>
  </si>
  <si>
    <t xml:space="preserve">Tester Name</t>
  </si>
  <si>
    <t xml:space="preserve">Testing Period</t>
  </si>
  <si>
    <t xml:space="preserve">Half-day session</t>
  </si>
  <si>
    <t xml:space="preserve">Total Test Cases</t>
  </si>
  <si>
    <t xml:space="preserve">53</t>
  </si>
  <si>
    <t xml:space="preserve">Refill &amp; Dispatch TCs</t>
  </si>
  <si>
    <t xml:space="preserve">25</t>
  </si>
  <si>
    <t xml:space="preserve">Procurement &amp; Stage 1 TCs</t>
  </si>
  <si>
    <t xml:space="preserve">28</t>
  </si>
  <si>
    <t xml:space="preserve">HOW TO USE THIS WORKBOOK</t>
  </si>
  <si>
    <t xml:space="preserve">STEP 1 – SET UP</t>
  </si>
  <si>
    <t xml:space="preserve">Log into boonz-erp.vercel.app using the field_staff test account (driver@boonz.test / Test1234!). Keep a second browser tab open with the Supabase dashboard for DB verification steps. Use Chrome for best compatibility.</t>
  </si>
  <si>
    <t xml:space="preserve">STEP 2 – READ EACH TEST CASE</t>
  </si>
  <si>
    <t xml:space="preserve">Go to the '🔄 Refill &amp; Dispatch' or '📦 Procurement &amp; Stage 1' sheet. Each row is one test case. Read the TC ID, the Pre-Conditions column first – if not met, mark as 'Blocked' in the Result column and note why.</t>
  </si>
  <si>
    <t xml:space="preserve">STEP 3 – FOLLOW THE STEPS</t>
  </si>
  <si>
    <t xml:space="preserve">Execute each numbered step exactly as written. Do not skip steps. The Steps column contains everything you need to do in the UI and sometimes in Supabase.</t>
  </si>
  <si>
    <t xml:space="preserve">STEP 4 – RECORD THE RESULT</t>
  </si>
  <si>
    <t xml:space="preserve">In the Result column, type:
  ✅ PASS – worked as expected
  ❌ FAIL – did not match expected result
  ⚠️ BLOCKED – could not run (missing data / permissions)
  ⏭️ SKIP – out of scope for this session</t>
  </si>
  <si>
    <t xml:space="preserve">STEP 5 – LOG DETAILS</t>
  </si>
  <si>
    <t xml:space="preserve">For every FAIL or BLOCKED, go to the '📝 Test Log' sheet and add a row. Paste the TC ID, describe what actually happened, and note any screenshots or error messages.</t>
  </si>
  <si>
    <t xml:space="preserve">STEP 6 – EDGE CASES</t>
  </si>
  <si>
    <t xml:space="preserve">Rows highlighted in light blue are edge cases (Column H = 'Yes'). These are the trickiest scenarios. Prioritise them in the afternoon session.</t>
  </si>
  <si>
    <t xml:space="preserve">PRIORITY GUIDE</t>
  </si>
  <si>
    <t xml:space="preserve">🔴 Critical = must pass before going live
🟠 High = important functional coverage
🟡 Medium = good to have
⚪ Low = nice to verify</t>
  </si>
  <si>
    <t xml:space="preserve">SHEETS OVERVIEW</t>
  </si>
  <si>
    <t xml:space="preserve">📋 HOW TO USE  →  This sheet (start here)
🔄 Refill &amp; Dispatch  →  Test cases for daily refill flow
📦 Procurement &amp; Stage 1  →  Test cases for POs, receiving, audit
📝 Test Log  →  Fill in your results and notes
📊 Summary  →  Auto-calculated pass/fail dashboard</t>
  </si>
  <si>
    <t xml:space="preserve">TIPS</t>
  </si>
  <si>
    <t xml:space="preserve">• Take a screenshot for every FAIL
• Note the exact URL and time when the issue occurred
• If a step is unclear, ask Cyril before guessing
• Mark 'SKIP' rather than leaving blank – it helps the summary count</t>
  </si>
  <si>
    <t xml:space="preserve">BOONZ ERP – REFILL &amp; DISPATCH TEST CASES</t>
  </si>
  <si>
    <t xml:space="preserve">TC ID</t>
  </si>
  <si>
    <t xml:space="preserve">Module</t>
  </si>
  <si>
    <t xml:space="preserve">Test Case Name</t>
  </si>
  <si>
    <t xml:space="preserve">URL / Page</t>
  </si>
  <si>
    <t xml:space="preserve">Pre-Conditions</t>
  </si>
  <si>
    <t xml:space="preserve">Steps (numbered – follow exactly)</t>
  </si>
  <si>
    <t xml:space="preserve">Expected Result</t>
  </si>
  <si>
    <t xml:space="preserve">Edge Case?</t>
  </si>
  <si>
    <t xml:space="preserve">Priority</t>
  </si>
  <si>
    <t xml:space="preserve">Result
(Pass/Fail/Blocked)</t>
  </si>
  <si>
    <t xml:space="preserve">Tester Notes / Observations</t>
  </si>
  <si>
    <t xml:space="preserve">Tested By</t>
  </si>
  <si>
    <t xml:space="preserve">Date Tested</t>
  </si>
  <si>
    <t xml:space="preserve">  Dashboard</t>
  </si>
  <si>
    <t xml:space="preserve">RD-01</t>
  </si>
  <si>
    <t xml:space="preserve">Dashboard</t>
  </si>
  <si>
    <t xml:space="preserve">Field home loads correctly</t>
  </si>
  <si>
    <t xml:space="preserve">Logged in as any field user.</t>
  </si>
  <si>
    <t xml:space="preserve">1. Open https://boonz-erp.vercel.app/field
2. Check the page loads without error.
3. Verify you see DAILY REFILLS, PROCUREMENT, and INVENTORY sections.
4. Confirm counters (To refill, Machines packed, Machines picked up, Machines dispatched) are visible.</t>
  </si>
  <si>
    <t xml:space="preserve">Page loads in &lt; 3s. All four refill counters display. Procurement section shows Open orders &amp; Received today. Inventory section shows expired/near-expiry alerts.</t>
  </si>
  <si>
    <t xml:space="preserve">No</t>
  </si>
  <si>
    <t xml:space="preserve">High</t>
  </si>
  <si>
    <t xml:space="preserve">RD-02</t>
  </si>
  <si>
    <t xml:space="preserve">Refill counter reflects active plan</t>
  </si>
  <si>
    <t xml:space="preserve">A refill plan has been generated for today (run /refill-engine from admin).</t>
  </si>
  <si>
    <t xml:space="preserve">1. Confirm 'To refill today' shows a number &gt; 0.
2. Confirm 'Machines packed' starts at 0/X.
3. Confirm 'Machines picked up' = 0/X.
4. Confirm 'Machines dispatched' = 0/X.</t>
  </si>
  <si>
    <t xml:space="preserve">All 4 counters show correct totals matching the generated plan. Machines packed counter = 0 at start of day.</t>
  </si>
  <si>
    <t xml:space="preserve">  Packing</t>
  </si>
  <si>
    <t xml:space="preserve">RD-03</t>
  </si>
  <si>
    <t xml:space="preserve">Packing</t>
  </si>
  <si>
    <t xml:space="preserve">Packing list shows all machines for today</t>
  </si>
  <si>
    <t xml:space="preserve">https://boonz-erp.vercel.app/field/packing</t>
  </si>
  <si>
    <t xml:space="preserve">Refill plan exists for today (at least 1 machine).</t>
  </si>
  <si>
    <t xml:space="preserve">1. Navigate to /field/packing.
2. Confirm list shows each machine scheduled for a refill today.
3. Verify each machine card shows: machine name, number of SKUs to pack, and a progress indicator (e.g. '0/5 packed').</t>
  </si>
  <si>
    <t xml:space="preserve">All machines in today's plan appear. SKU counts match the plan. No extra machines appear.</t>
  </si>
  <si>
    <t xml:space="preserve">RD-04</t>
  </si>
  <si>
    <t xml:space="preserve">Pack a single SKU with correct FIFO batch</t>
  </si>
  <si>
    <t xml:space="preserve">https://boonz-erp.vercel.app/field/packing/[machineId]</t>
  </si>
  <si>
    <t xml:space="preserve">Machine has at least 1 REFILL line today. Warehouse has stock with 2+ batches (different expiry dates).</t>
  </si>
  <si>
    <t xml:space="preserve">1. Open packing detail for a machine.
2. Find a REFILL line.
3. Open the batch picker.
4. Confirm earliest expiry batch is shown FIRST.
5. Select that batch.
6. Enter the required quantity.
7. Tap 'Pack'.
8. Confirm the line shows as packed (checkmark or green).</t>
  </si>
  <si>
    <t xml:space="preserve">Batch picker sorts by expiry date ASC. After packing: refill_dispatching.packed = true, filled_quantity = entered qty, warehouse_inventory.warehouse_stock decremented by that qty.</t>
  </si>
  <si>
    <t xml:space="preserve">RD-05</t>
  </si>
  <si>
    <t xml:space="preserve">Pack a MIX product – split across variants</t>
  </si>
  <si>
    <t xml:space="preserve">Machine has a MIX product in today's plan (physical_type = MIX). At least 2 variants exist in WH stock.</t>
  </si>
  <si>
    <t xml:space="preserve">1. Open packing detail for the machine.
2. Locate the MIX product line.
3. Confirm the UI shows variant split percentages.
4. Enter total quantity to pack.
5. Verify the system auto-splits qty across variants per split_pct.
6. Pack each variant.
7. Confirm all variant lines show packed.</t>
  </si>
  <si>
    <t xml:space="preserve">Quantities distributed proportionally. If split results in a fraction, system rounds correctly. All variant lines marked packed. Warehouse stock deducted correctly per variant.</t>
  </si>
  <si>
    <t xml:space="preserve">Yes</t>
  </si>
  <si>
    <t xml:space="preserve">RD-06</t>
  </si>
  <si>
    <t xml:space="preserve">SWAP pair – REMOVE + ADD NEW shown together</t>
  </si>
  <si>
    <t xml:space="preserve">Machine has a SWAP action in today's plan (a product is being replaced on a shelf).</t>
  </si>
  <si>
    <t xml:space="preserve">1. Open packing detail for the machine.
2. Locate the SWAP pair (should show 'REMOVE: [Product A]' and 'ADD NEW: [Product B]' for the same shelf).
3. Verify both lines appear grouped on the same shelf code.
4. Confirm 'REPLACES' comment is shown.
5. Pack the ADD NEW line (select batch, enter qty, tap Pack).
6. Handle the REMOVE line (no batch needed – drain from pod).
7. Confirm both lines show packed.</t>
  </si>
  <si>
    <t xml:space="preserve">Both REMOVE and ADD NEW lines visible for same shelf. ADD NEW packed from WH batch. REMOVE line processed. No orphaned half-pairs.</t>
  </si>
  <si>
    <t xml:space="preserve">RD-07</t>
  </si>
  <si>
    <t xml:space="preserve">Pack underfill – less than planned quantity</t>
  </si>
  <si>
    <t xml:space="preserve">Machine has a REFILL line. Warehouse has fewer units than the planned quantity.</t>
  </si>
  <si>
    <t xml:space="preserve">1. Open the REFILL line batch picker.
2. Note the available quantity in the batch (less than planned).
3. Enter the available quantity (not the full planned amount).
4. Pack the line.
5. Confirm the system accepts a partial fill (no error).
6. Note filled_quantity saved.</t>
  </si>
  <si>
    <t xml:space="preserve">System accepts underfill. filled_quantity = what was entered. Warehouse stock goes to 0 for that batch. No crash or validation error.</t>
  </si>
  <si>
    <t xml:space="preserve">RD-08</t>
  </si>
  <si>
    <t xml:space="preserve">Skip a line – include = false, stock restored</t>
  </si>
  <si>
    <t xml:space="preserve">A line is visible that can be toggled/skipped (or use a line the operator marked include=false).</t>
  </si>
  <si>
    <t xml:space="preserve">1. On a REFILL line, tap the 'Skip' or exclude toggle.
2. Confirm the line is removed from active packing.
3. Go to warehouse inventory for that product.
4. Confirm the warehouse_stock was NOT decremented (stock still intact).
5. The line should be flagged as a potential drift candidate.</t>
  </si>
  <si>
    <t xml:space="preserve">Skipped line does not consume warehouse stock. Line marked include=false. Possible drift candidate created for operator review.</t>
  </si>
  <si>
    <t xml:space="preserve">Medium</t>
  </si>
  <si>
    <t xml:space="preserve">RD-09</t>
  </si>
  <si>
    <t xml:space="preserve">Multi-batch packing – split across 2 batches</t>
  </si>
  <si>
    <t xml:space="preserve">Machine needs 10 units of a product but Batch A has only 6 and Batch B has 8 (two batches).</t>
  </si>
  <si>
    <t xml:space="preserve">1. Open REFILL line batch picker.
2. Select Batch A (earliest expiry), enter 6.
3. Add Batch B, enter 4.
4. Confirm total = 10.
5. Pack.
6. Verify Batch A deducted by 6, Batch B deducted by 4 in warehouse_inventory.</t>
  </si>
  <si>
    <t xml:space="preserve">Both batches deducted correctly. refill_dispatching shows total filled_quantity = 10. No double-decrement.</t>
  </si>
  <si>
    <t xml:space="preserve">RD-10</t>
  </si>
  <si>
    <t xml:space="preserve">All SKUs packed – machine ready for pickup</t>
  </si>
  <si>
    <t xml:space="preserve">All lines for a machine have been packed (RD-03 through RD-09 completed).</t>
  </si>
  <si>
    <t xml:space="preserve">1. Pack the final remaining line for a machine.
2. Return to /field/packing list.
3. Confirm the machine is no longer in the active packing list (or shows 100% complete).
4. Navigate to /field/pickup.
5. Confirm the machine appears in the pickup list.</t>
  </si>
  <si>
    <t xml:space="preserve">Machine status transitions from 'packing' → 'ready_for_pickup'. Machine disappears from packing queue and appears in pickup queue.</t>
  </si>
  <si>
    <t xml:space="preserve">  Pickup</t>
  </si>
  <si>
    <t xml:space="preserve">RD-11</t>
  </si>
  <si>
    <t xml:space="preserve">Pickup</t>
  </si>
  <si>
    <t xml:space="preserve">Pickup list shows only fully packed machines</t>
  </si>
  <si>
    <t xml:space="preserve">https://boonz-erp.vercel.app/field/pickup</t>
  </si>
  <si>
    <t xml:space="preserve">At least one machine has all SKUs packed. Another machine still has unpacked lines.</t>
  </si>
  <si>
    <t xml:space="preserve">1. Navigate to /field/pickup.
2. Confirm only the fully-packed machine appears.
3. Confirm the partially-packed machine does NOT appear.</t>
  </si>
  <si>
    <t xml:space="preserve">Pickup list filters correctly. Only 100%-packed machines shown. Status gate enforced by DB.</t>
  </si>
  <si>
    <t xml:space="preserve">RD-12</t>
  </si>
  <si>
    <t xml:space="preserve">Confirm pickup for a machine</t>
  </si>
  <si>
    <t xml:space="preserve">Machine appears in pickup list (all packed).</t>
  </si>
  <si>
    <t xml:space="preserve">1. Tap 'Confirm pickup' on the machine.
2. Confirm a success message or the machine disappears from the list.
3. Navigate to /field/dispatching.
4. Confirm the machine now appears in the dispatching queue.</t>
  </si>
  <si>
    <t xml:space="preserve">picked_up = true for all lines. Machine moves to 'ready_to_dispatch' state. Appears in dispatching screen.</t>
  </si>
  <si>
    <t xml:space="preserve">RD-13</t>
  </si>
  <si>
    <t xml:space="preserve">Cannot pick up machine with unpacked items</t>
  </si>
  <si>
    <t xml:space="preserve">Machine has 1 SKU still unpacked.</t>
  </si>
  <si>
    <t xml:space="preserve">1. Try to confirm pickup for a machine that still has unpacked lines.
2. Verify the button is disabled or an error is shown.</t>
  </si>
  <si>
    <t xml:space="preserve">System blocks pickup confirmation. Error message shown. Machine stays in packing state.</t>
  </si>
  <si>
    <t xml:space="preserve">  Dispatching</t>
  </si>
  <si>
    <t xml:space="preserve">RD-14</t>
  </si>
  <si>
    <t xml:space="preserve">Dispatching</t>
  </si>
  <si>
    <t xml:space="preserve">Dispatching list shows picked-up machines</t>
  </si>
  <si>
    <t xml:space="preserve">https://boonz-erp.vercel.app/field/dispatching</t>
  </si>
  <si>
    <t xml:space="preserve">At least one machine has been picked up.</t>
  </si>
  <si>
    <t xml:space="preserve">1. Navigate to /field/dispatching.
2. Confirm only picked-up machines appear.
3. Verify machine name, location, and SKU count shown.</t>
  </si>
  <si>
    <t xml:space="preserve">Only picked-up machines appear. Message 'Complete pickups first' shown if no pickups done yet.</t>
  </si>
  <si>
    <t xml:space="preserve">RD-15</t>
  </si>
  <si>
    <t xml:space="preserve">Dispatch all lines for a machine – full quantity</t>
  </si>
  <si>
    <t xml:space="preserve">https://boonz-erp.vercel.app/field/dispatching/[machineId]</t>
  </si>
  <si>
    <t xml:space="preserve">Machine has been picked up. All lines ready to dispatch.</t>
  </si>
  <si>
    <t xml:space="preserve">1. Open dispatching detail for machine.
2. For each line: confirm filled_quantity shown, tap 'Dispatch'.
3. After all lines confirmed, return to dispatching list.
4. Verify machine shows as dispatched.</t>
  </si>
  <si>
    <t xml:space="preserve">All lines: dispatched = true. filled_quantity = packed quantity. Machine status = 'done'. Warehouse stock unchanged (already deducted at packing).</t>
  </si>
  <si>
    <t xml:space="preserve">RD-16</t>
  </si>
  <si>
    <t xml:space="preserve">Dispatch underfill – actual &lt; packed quantity</t>
  </si>
  <si>
    <t xml:space="preserve">Machine picked up. Driver has 8 units but machine only has room for 6.</t>
  </si>
  <si>
    <t xml:space="preserve">1. Open dispatch line.
2. Enter 6 as the actual filled_quantity (less than packed 8).
3. Confirm dispatch.
4. Go to /field/inventory.
5. Verify 2 units returned to warehouse_inventory (delta = 8-6 = 2).</t>
  </si>
  <si>
    <t xml:space="preserve">B2 path triggered. Delta (2 units) returned to warehouse_inventory. Same batch or new RETURN batch. refill_dispatching.filled_quantity = 6.</t>
  </si>
  <si>
    <t xml:space="preserve">Critical</t>
  </si>
  <si>
    <t xml:space="preserve">RD-17</t>
  </si>
  <si>
    <t xml:space="preserve">Return a dispatch line</t>
  </si>
  <si>
    <t xml:space="preserve">A line has been picked up but driver decides to return it (e.g., shelf broken).</t>
  </si>
  <si>
    <t xml:space="preserve">1. On the dispatch line, tap 'Return'.
2. Select a return reason.
3. Confirm.
4. Verify line shows returned = true, filled_quantity = 0.
5. Check warehouse_inventory: stock increased by the packed quantity (B3 path).</t>
  </si>
  <si>
    <t xml:space="preserve">B3 path: consumer_stock drained back to warehouse_stock, OR B2 fallback batch updated. refill_dispatching.returned = true. filled_quantity = 0.</t>
  </si>
  <si>
    <t xml:space="preserve">RD-18</t>
  </si>
  <si>
    <t xml:space="preserve">Trips view shows full status pipeline</t>
  </si>
  <si>
    <t xml:space="preserve">https://boonz-erp.vercel.app/field/trips</t>
  </si>
  <si>
    <t xml:space="preserve">Some machines in various states (packing / pickup / dispatching / done).</t>
  </si>
  <si>
    <t xml:space="preserve">1. Navigate to /field/trips.
2. Verify each machine shows its current stage.
3. Confirm pipeline: Packing → Ready for Pickup → Ready to Dispatch → In Progress → Done.
4. Verify SKU counts per stage are accurate.</t>
  </si>
  <si>
    <t xml:space="preserve">All machines shown with correct stage. Counts match actual DB state. No machine stuck in wrong stage.</t>
  </si>
  <si>
    <t xml:space="preserve">  Reception</t>
  </si>
  <si>
    <t xml:space="preserve">RD-19</t>
  </si>
  <si>
    <t xml:space="preserve">Reception</t>
  </si>
  <si>
    <t xml:space="preserve">Receive all dispatches for a machine (admin)</t>
  </si>
  <si>
    <t xml:space="preserve">https://boonz-erp.vercel.app/app/refill</t>
  </si>
  <si>
    <t xml:space="preserve">All lines dispatched for a machine. Logged in as operator_admin.</t>
  </si>
  <si>
    <t xml:space="preserve">1. Open Admin → /app/refill.
2. Find the dispatched machine.
3. Click 'Receive all dispatches'.
4. Confirm action.
5. Go to /field/pod-inventory.
6. Verify pod_inventory rows created for the machine with correct quantities.
7. Verify item_added = true on all dispatch lines.</t>
  </si>
  <si>
    <t xml:space="preserve">RPC receive_all_dispatches_for_machine called. pod_inventory rows created. REMOVE lines drain pod stock. Underfills trigger B2 return. item_added = true.</t>
  </si>
  <si>
    <t xml:space="preserve">RD-20</t>
  </si>
  <si>
    <t xml:space="preserve">REMOVE line drains pod inventory on reception</t>
  </si>
  <si>
    <t xml:space="preserve">SWAP executed: REMOVE line dispatched for machine. Pod still had old product in stock.</t>
  </si>
  <si>
    <t xml:space="preserve">1. After receive_all_dispatches, go to /field/pod-inventory for the machine.
2. Find the removed product.
3. Confirm its stock is now 0 or the row is marked removed.</t>
  </si>
  <si>
    <t xml:space="preserve">Old pod_inventory row drained. status updated. No ghost stock remaining for the removed product.</t>
  </si>
  <si>
    <t xml:space="preserve">  Edge Cases</t>
  </si>
  <si>
    <t xml:space="preserve">RD-21</t>
  </si>
  <si>
    <t xml:space="preserve">Edge Cases</t>
  </si>
  <si>
    <t xml:space="preserve">Machine with 0 refill lines still visible in trips</t>
  </si>
  <si>
    <t xml:space="preserve">A machine is in the plan but all its lines were skipped (include=false).</t>
  </si>
  <si>
    <t xml:space="preserve">1. Generate a plan where all lines for Machine X are skipped.
2. Navigate to /field/trips.
3. Check if Machine X appears.
4. If it does, verify its state is correctly shown.</t>
  </si>
  <si>
    <t xml:space="preserve">Machine not shown (or shown as 0 items). No phantom trips blocking the pipeline.</t>
  </si>
  <si>
    <t xml:space="preserve">RD-22</t>
  </si>
  <si>
    <t xml:space="preserve">Expiry filter works on inventory page</t>
  </si>
  <si>
    <t xml:space="preserve">https://boonz-erp.vercel.app/field/inventory</t>
  </si>
  <si>
    <t xml:space="preserve">Warehouse has products in various expiry states (expired, &lt;3d, &lt;7d, &lt;30d, good).</t>
  </si>
  <si>
    <t xml:space="preserve">1. Navigate to /field/inventory.
2. Filter by 'Expired'. Confirm only expired items shown.
3. Filter by '&lt;=3 days'. Confirm only items expiring within 3 days shown.
4. Filter by '&lt;=7 days'.
5. Filter by '&lt;=30 days'.
6. Filter by 'All'.</t>
  </si>
  <si>
    <t xml:space="preserve">Each filter returns correct subset. Expired filter excludes non-expired. Counts consistent with data.</t>
  </si>
  <si>
    <t xml:space="preserve">RD-23</t>
  </si>
  <si>
    <t xml:space="preserve">Warehouse stock cannot go negative on packing</t>
  </si>
  <si>
    <t xml:space="preserve">Batch has exactly 5 units in stock.</t>
  </si>
  <si>
    <t xml:space="preserve">1. Open batch picker for a REFILL line.
2. Try to enter 6 (more than available).
3. Confirm system prevents overfill.</t>
  </si>
  <si>
    <t xml:space="preserve">System shows error or clamps to max available. warehouse_inventory.warehouse_stock never goes below 0.</t>
  </si>
  <si>
    <t xml:space="preserve">RD-24</t>
  </si>
  <si>
    <t xml:space="preserve">Dashboard counters update in real-time after packing</t>
  </si>
  <si>
    <t xml:space="preserve">Refill plan active. 3 machines to pack.</t>
  </si>
  <si>
    <t xml:space="preserve">1. Note counters on /field dashboard.
2. Pack all SKUs for one machine.
3. Refresh /field.
4. Verify 'Machines packed' counter increased by 1.</t>
  </si>
  <si>
    <t xml:space="preserve">Counter updates reflect DB state correctly after each action.</t>
  </si>
  <si>
    <t xml:space="preserve">RD-25</t>
  </si>
  <si>
    <t xml:space="preserve">Shelf view shows correct product layout</t>
  </si>
  <si>
    <t xml:space="preserve">https://boonz-erp.vercel.app/field/shelf-view/[machineId]</t>
  </si>
  <si>
    <t xml:space="preserve">Machine has pod_inventory rows loaded.</t>
  </si>
  <si>
    <t xml:space="preserve">1. Navigate to /field/shelf-view/[machineId] for a known machine.
2. Confirm shelf grid displayed.
3. Verify product names and quantities per shelf code are correct.
4. Compare against /field/pod-inventory for same machine.</t>
  </si>
  <si>
    <t xml:space="preserve">Shelf view matches pod_inventory data. No extra or missing shelves. Visual layout matches machine configuration.</t>
  </si>
  <si>
    <t xml:space="preserve">Low</t>
  </si>
  <si>
    <t xml:space="preserve">BOONZ ERP – PROCUREMENT &amp; STAGE 1 TEST CASES</t>
  </si>
  <si>
    <t xml:space="preserve">  Purchase Orders</t>
  </si>
  <si>
    <t xml:space="preserve">PR-01</t>
  </si>
  <si>
    <t xml:space="preserve">Purchase Orders</t>
  </si>
  <si>
    <t xml:space="preserve">Purchase orders list – Pending vs All tabs</t>
  </si>
  <si>
    <t xml:space="preserve">https://boonz-erp.vercel.app/field/orders</t>
  </si>
  <si>
    <t xml:space="preserve">At least one PO exists in the system (received or pending).</t>
  </si>
  <si>
    <t xml:space="preserve">1. Navigate to /field/orders.
2. Default tab is 'Pending' – verify it shows only POs with received_date IS NULL.
3. Click 'All orders' tab.
4. Verify all POs appear (received + pending).
5. Confirm each PO shows: PO ID, supplier, date, product lines count.</t>
  </si>
  <si>
    <t xml:space="preserve">Pending tab: only unreceived POs. All orders tab: complete list. Correct grouping by PO ID.</t>
  </si>
  <si>
    <t xml:space="preserve">PR-02</t>
  </si>
  <si>
    <t xml:space="preserve">Create a new Purchase Order</t>
  </si>
  <si>
    <t xml:space="preserve">Logged in as operator_admin or field_staff. At least one supplier and one product exist.</t>
  </si>
  <si>
    <t xml:space="preserve">1. Tap the '+' button or 'New Purchase Order' on /field/orders.
2. Select a supplier.
3. Add a product line: choose boonz_product, enter ordered_qty, price_per_unit_aed, expiry_date.
4. Add a second product line.
5. Tap 'Save' / 'Submit'.
6. Confirm PO appears in Pending tab with correct details.</t>
  </si>
  <si>
    <t xml:space="preserve">PO created in purchase_orders table. Shows in Pending tab. Line items correct. received_date = NULL.</t>
  </si>
  <si>
    <t xml:space="preserve">PR-03</t>
  </si>
  <si>
    <t xml:space="preserve">PO line shows ordered vs received qty correctly</t>
  </si>
  <si>
    <t xml:space="preserve">A PO exists that has been partially received (received_qty &lt; ordered_qty on at least one line).</t>
  </si>
  <si>
    <t xml:space="preserve">1. Navigate to /field/orders → All orders.
2. Expand a received PO.
3. For each line: verify ordered_qty and received_qty both displayed.
4. Identify any line where received &lt; ordered.
5. Confirm it's still visible (not hidden).</t>
  </si>
  <si>
    <t xml:space="preserve">Both qty fields visible. Short-received lines clearly shown. No data hidden.</t>
  </si>
  <si>
    <t xml:space="preserve">  Receiving</t>
  </si>
  <si>
    <t xml:space="preserve">PR-04</t>
  </si>
  <si>
    <t xml:space="preserve">Receiving</t>
  </si>
  <si>
    <t xml:space="preserve">Receiving list shows only pending POs</t>
  </si>
  <si>
    <t xml:space="preserve">https://boonz-erp.vercel.app/field/receiving</t>
  </si>
  <si>
    <t xml:space="preserve">At least one PO with received_date IS NULL exists.</t>
  </si>
  <si>
    <t xml:space="preserve">1. Navigate to /field/receiving.
2. Confirm only pending POs shown.
3. Confirm already-received POs do NOT appear.
4. Verify PO ID, supplier name, and product count shown per PO.</t>
  </si>
  <si>
    <t xml:space="preserve">Receiving list filtered to received_date IS NULL. No received POs leak into the list.</t>
  </si>
  <si>
    <t xml:space="preserve">PR-05</t>
  </si>
  <si>
    <t xml:space="preserve">Receive a full PO – all lines at full quantity</t>
  </si>
  <si>
    <t xml:space="preserve">https://boonz-erp.vercel.app/field/receiving/[poId]</t>
  </si>
  <si>
    <t xml:space="preserve">PO with 2+ lines, all pending. Warehouse locations configured.</t>
  </si>
  <si>
    <t xml:space="preserve">1. Open a pending PO from /field/receiving.
2. For each line: enter received_qty = ordered_qty, select wh_location, enter expiry_date.
3. Tap 'Submit' / 'Receive'.
4. Navigate to /field/inventory.
5. Verify new warehouse_inventory rows created with: correct product, warehouse_stock = received_qty, expiration_date entered, status = Active, batch_id starts with 'BATCH-'.</t>
  </si>
  <si>
    <t xml:space="preserve">purchase_orders: received_qty set, received_date = today. warehouse_inventory rows created per line. Correct batch_id format. Status = Active.</t>
  </si>
  <si>
    <t xml:space="preserve">PR-06</t>
  </si>
  <si>
    <t xml:space="preserve">Receive a partial PO – received_qty &lt; ordered_qty</t>
  </si>
  <si>
    <t xml:space="preserve">PO exists. Supplier short-delivered: 8 units ordered, 5 delivered.</t>
  </si>
  <si>
    <t xml:space="preserve">1. Open pending PO.
2. For a line, enter received_qty = 5 (ordered was 8).
3. Enter location and expiry.
4. Submit.
5. Verify warehouse_inventory.warehouse_stock = 5 (not 8).
6. Verify purchase_orders.received_qty = 5.</t>
  </si>
  <si>
    <t xml:space="preserve">System accepts partial receive. warehouse_inventory correct. purchase_orders shows actual received quantity.</t>
  </si>
  <si>
    <t xml:space="preserve">PR-07</t>
  </si>
  <si>
    <t xml:space="preserve">Receive with a new location not previously used</t>
  </si>
  <si>
    <t xml:space="preserve">PO pending. A new warehouse location (e.g. 'Shelf C-4') not yet in the system.</t>
  </si>
  <si>
    <t xml:space="preserve">1. Open pending PO.
2. On a line, type a new location name that doesn't exist yet.
3. Enter qty and expiry.
4. Submit.
5. Verify warehouse_inventory.wh_location = the new location name.</t>
  </si>
  <si>
    <t xml:space="preserve">System accepts free-text location. No crash. Location saved correctly.</t>
  </si>
  <si>
    <t xml:space="preserve">PR-08</t>
  </si>
  <si>
    <t xml:space="preserve">Location auto-fills from previous batch</t>
  </si>
  <si>
    <t xml:space="preserve">Product has been received before into a specific location.</t>
  </si>
  <si>
    <t xml:space="preserve">1. Open a PO containing a product that was previously stored in 'Shelf A-1'.
2. Navigate to the line for that product.
3. Verify the wh_location field is pre-filled with 'Shelf A-1' (from most recent batch).</t>
  </si>
  <si>
    <t xml:space="preserve">Location pre-populated from most recent warehouse_inventory row for that product. Reduces data entry errors.</t>
  </si>
  <si>
    <t xml:space="preserve">PR-09</t>
  </si>
  <si>
    <t xml:space="preserve">Add PO addition – item not on original PO</t>
  </si>
  <si>
    <t xml:space="preserve">PO is being received. Supplier delivered an extra product not listed.</t>
  </si>
  <si>
    <t xml:space="preserve">1. Open PO receiving page.
2. Find the 'Add item' / po_additions section.
3. Select a product and enter qty + expiry.
4. Submit.
5. Verify po_additions row created with status = 'pending'.
6. Check admin can see and review it.</t>
  </si>
  <si>
    <t xml:space="preserve">po_additions row created. status = 'pending'. Does not create warehouse_inventory automatically (requires admin review).</t>
  </si>
  <si>
    <t xml:space="preserve">PR-10</t>
  </si>
  <si>
    <t xml:space="preserve">Cannot receive same PO twice</t>
  </si>
  <si>
    <t xml:space="preserve">PO already fully received (received_date is set).</t>
  </si>
  <si>
    <t xml:space="preserve">1. Navigate to /field/receiving.
2. Confirm the already-received PO does NOT appear.
3. If it somehow appears, try to re-submit.
4. Verify system rejects or prevents duplicate receipt.</t>
  </si>
  <si>
    <t xml:space="preserve">Received POs absent from /field/receiving. No double warehouse_inventory creation.</t>
  </si>
  <si>
    <t xml:space="preserve">  Stage 1 – B1 Audit</t>
  </si>
  <si>
    <t xml:space="preserve">B1-01</t>
  </si>
  <si>
    <t xml:space="preserve">Stage 1 – B1 Audit</t>
  </si>
  <si>
    <t xml:space="preserve">Inventory update creates audit log entry</t>
  </si>
  <si>
    <t xml:space="preserve">warehouse_inventory row exists with warehouse_stock &gt; 0. Logged in as operator_admin.</t>
  </si>
  <si>
    <t xml:space="preserve">1. Navigate to /field/inventory.
2. Find a product with known stock (e.g. 10 units).
3. Edit the quantity to 8.
4. Save.
5. In Supabase: query inventory_audit_log for that wh_inventory_id.
6. Verify: old_qty = 10, new_qty = 8, delta = -2, reason populated, audited_at = now.</t>
  </si>
  <si>
    <t xml:space="preserve">inventory_audit_log row created. old_qty, new_qty, delta all correct. adjusted_by = operator uid (or NULL if service_role). audited_at timestamp recent.</t>
  </si>
  <si>
    <t xml:space="preserve">B1-02</t>
  </si>
  <si>
    <t xml:space="preserve">Audit log captures reason field</t>
  </si>
  <si>
    <t xml:space="preserve">Same as B1-01.</t>
  </si>
  <si>
    <t xml:space="preserve">1. Edit warehouse stock with a specific reason (e.g. 'damaged goods').
2. Save.
3. Check inventory_audit_log.
4. Verify reason field contains the reason string entered.</t>
  </si>
  <si>
    <t xml:space="preserve">reason field populated. Not blank or NULL unless system mutation (which has a system reason).</t>
  </si>
  <si>
    <t xml:space="preserve">B1-03</t>
  </si>
  <si>
    <t xml:space="preserve">Service-role mutations have nullable adjusted_by</t>
  </si>
  <si>
    <t xml:space="preserve">Supabase (DB check)</t>
  </si>
  <si>
    <t xml:space="preserve">A service-role / cron job mutation has occurred (e.g. n8n-triggered stock update).</t>
  </si>
  <si>
    <t xml:space="preserve">1. Identify a recent inventory_audit_log row created by a background process.
2. In Supabase: verify adjusted_by IS NULL for that row.
3. Confirm reason field explains the source.</t>
  </si>
  <si>
    <t xml:space="preserve">adjusted_by = NULL allowed for service_role mutations. reason field describes the source. No DB constraint violation.</t>
  </si>
  <si>
    <t xml:space="preserve">B1-04</t>
  </si>
  <si>
    <t xml:space="preserve">Drift candidates appear after underfill dispatch</t>
  </si>
  <si>
    <t xml:space="preserve">A dispatch line was underfilled (filled_qty &lt; planned_qty) and dispatched.</t>
  </si>
  <si>
    <t xml:space="preserve">1. After an underfill dispatch (see RD-16), query inventory_drift_candidates in Supabase.
2. Verify a row exists for that dispatch_id.
3. Check: planned_qty, filled_qty, qty_gap = planned - filled, status = 'pending_review'.</t>
  </si>
  <si>
    <t xml:space="preserve">inventory_drift_candidates row created. qty_gap correct. status = pending_review. Machine and product correctly identified.</t>
  </si>
  <si>
    <t xml:space="preserve">B1-05</t>
  </si>
  <si>
    <t xml:space="preserve">Operator can review and resolve drift candidates</t>
  </si>
  <si>
    <t xml:space="preserve">https://boonz-erp.vercel.app/app (admin)</t>
  </si>
  <si>
    <t xml:space="preserve">Drift candidates exist in pending_review status.</t>
  </si>
  <si>
    <t xml:space="preserve">1. Log in as operator_admin.
2. Navigate to the drift review section (admin dashboard).
3. Find a pending_review drift candidate.
4. Resolve it: mark as 'confirmed_drift', 'ignored', or 'repaired'.
5. Verify status updated in inventory_drift_candidates table.</t>
  </si>
  <si>
    <t xml:space="preserve">Status transitions correctly. reviewed_by = operator uid. reviewed_at timestamp set. No pending_review candidates remain after resolution.</t>
  </si>
  <si>
    <t xml:space="preserve">  Stage 1 – B2 Receive</t>
  </si>
  <si>
    <t xml:space="preserve">B2-01</t>
  </si>
  <si>
    <t xml:space="preserve">Stage 1 – B2 Receive</t>
  </si>
  <si>
    <t xml:space="preserve">Receive dispatch line – full quantity</t>
  </si>
  <si>
    <t xml:space="preserve">1. On admin /app/refill, trigger 'Receive all' for a machine where filled_qty = packed_qty on all lines.
2. Verify pod_inventory rows created with correct quantities.
3. Verify warehouse_inventory unchanged (no delta).
4. Verify item_added = true.</t>
  </si>
  <si>
    <t xml:space="preserve">Full receive: pod_inventory correct. No unnecessary warehouse adjustments. item_added = true.</t>
  </si>
  <si>
    <t xml:space="preserve">B2-02</t>
  </si>
  <si>
    <t xml:space="preserve">Receive dispatch line – underfill triggers delta return</t>
  </si>
  <si>
    <t xml:space="preserve">Dispatched machine with filled_qty &lt; planned_qty on at least one line.</t>
  </si>
  <si>
    <t xml:space="preserve">1. Trigger receive_all for the machine.
2. Note which lines had underfill.
3. Check warehouse_inventory for those products.
4. Verify delta (planned_qty - filled_qty) was returned to warehouse_stock.
5. Verify batch_id of returned stock (same batch or new RETURN row).</t>
  </si>
  <si>
    <t xml:space="preserve">B2 path: delta returned to correct warehouse batch. warehouse_inventory.warehouse_stock increased by delta. pod_inventory reflects actual filled_qty.</t>
  </si>
  <si>
    <t xml:space="preserve">B2-03</t>
  </si>
  <si>
    <t xml:space="preserve">REMOVE line drains pod inventory on receive</t>
  </si>
  <si>
    <t xml:space="preserve">SWAP dispatched: REMOVE line for an old product on a machine.</t>
  </si>
  <si>
    <t xml:space="preserve">1. Trigger receive_all for a machine with a REMOVE line.
2. Check pod_inventory for the removed product on that machine.
3. Verify stock = 0 or row is archived.</t>
  </si>
  <si>
    <t xml:space="preserve">Pod stock for REMOVE product goes to 0. No ghost stock. New ADD NEW product has its pod_inventory row created.</t>
  </si>
  <si>
    <t xml:space="preserve">B2-04</t>
  </si>
  <si>
    <t xml:space="preserve">receive_all is idempotent – can be called twice safely</t>
  </si>
  <si>
    <t xml:space="preserve">Machine already fully received.</t>
  </si>
  <si>
    <t xml:space="preserve">1. Trigger receive_all for a machine that was already received.
2. Verify no duplicate pod_inventory rows created.
3. Verify warehouse_inventory not double-debited.</t>
  </si>
  <si>
    <t xml:space="preserve">Second call is a no-op. No duplicates. DB state unchanged from first call. item_added check prevents re-processing.</t>
  </si>
  <si>
    <t xml:space="preserve">  Stage 1 – B3 Return</t>
  </si>
  <si>
    <t xml:space="preserve">B3-01</t>
  </si>
  <si>
    <t xml:space="preserve">Stage 1 – B3 Return</t>
  </si>
  <si>
    <t xml:space="preserve">Return dispatch line via B3 (consumer_stock path)</t>
  </si>
  <si>
    <t xml:space="preserve">A line has been picked up but not yet dispatched. consumer_stock reserved.</t>
  </si>
  <si>
    <t xml:space="preserve">1. On the dispatch detail page, tap 'Return' on a line.
2. Enter return reason.
3. Confirm.
4. Query warehouse_inventory for that product + machine.
5. Verify consumer_stock drained back to warehouse_stock on same row.</t>
  </si>
  <si>
    <t xml:space="preserve">B3 path: consumer_stock = 0, warehouse_stock += returned qty. refill_dispatching.returned = true, filled_quantity = 0, return_reason saved.</t>
  </si>
  <si>
    <t xml:space="preserve">B3-02</t>
  </si>
  <si>
    <t xml:space="preserve">Return falls back to B2 path when no consumer_stock</t>
  </si>
  <si>
    <t xml:space="preserve">Return triggered but consumer_stock column is NULL or 0 for that batch.</t>
  </si>
  <si>
    <t xml:space="preserve">1. Return a line where no consumer_stock reservation exists.
2. Verify system falls back to B2 path: finds original batch by product+expiry, adds back to warehouse_stock.
3. Confirm returned = true, filled_quantity = 0.</t>
  </si>
  <si>
    <t xml:space="preserve">B2 fallback used. Correct batch found. warehouse_stock restored. No crash. Return recorded.</t>
  </si>
  <si>
    <t xml:space="preserve">B3-03</t>
  </si>
  <si>
    <t xml:space="preserve">Return creates new RETURN batch as last resort</t>
  </si>
  <si>
    <t xml:space="preserve">Return triggered but original batch no longer exists (e.g. expired or fully consumed by another dispatch).</t>
  </si>
  <si>
    <t xml:space="preserve">1. Force a scenario where original batch is gone.
2. Return the line.
3. In Supabase: check warehouse_inventory for a new row with batch_id starting 'RETURN-'.
4. Verify qty = returned amount.</t>
  </si>
  <si>
    <t xml:space="preserve">New RETURN batch created. batch_id = 'RETURN-&lt;date&gt;'. warehouse_stock = returned qty. status = Active.</t>
  </si>
  <si>
    <t xml:space="preserve">B3-04</t>
  </si>
  <si>
    <t xml:space="preserve">Return is idempotent – cannot double-return</t>
  </si>
  <si>
    <t xml:space="preserve">A line has already been returned (returned = true).</t>
  </si>
  <si>
    <t xml:space="preserve">1. Try to return a line that already has returned = true.
2. Verify the system blocks or no-ops the second return.
3. Verify warehouse_inventory stock not doubled.</t>
  </si>
  <si>
    <t xml:space="preserve">Second return call is a no-op. Stock not duplicated. returned stays true. Error message or silent no-op.</t>
  </si>
  <si>
    <t xml:space="preserve">B3-05</t>
  </si>
  <si>
    <t xml:space="preserve">return_all_dispatches for machine returns all lines atomically</t>
  </si>
  <si>
    <t xml:space="preserve">A machine was dispatched and all lines need to be bulk-returned.</t>
  </si>
  <si>
    <t xml:space="preserve">1. On admin /app/refill, find the machine.
2. Trigger 'Return all dispatches'.
3. Verify all dispatch lines for the machine: returned = true, filled_quantity = 0.
4. Verify warehouse_inventory restored for all products.</t>
  </si>
  <si>
    <t xml:space="preserve">Bulk return atomic. All lines returned. Stock restored for each. No partial state.</t>
  </si>
  <si>
    <t xml:space="preserve">  Procurement Edge Cases</t>
  </si>
  <si>
    <t xml:space="preserve">PR-EC-01</t>
  </si>
  <si>
    <t xml:space="preserve">Procurement Edge Cases</t>
  </si>
  <si>
    <t xml:space="preserve">PO with zero ordered_qty line – validation</t>
  </si>
  <si>
    <t xml:space="preserve">Attempting to create a PO.</t>
  </si>
  <si>
    <t xml:space="preserve">1. Try to create a PO and add a line with ordered_qty = 0.
2. Try to submit.
3. Verify system rejects or shows validation error.</t>
  </si>
  <si>
    <t xml:space="preserve">Validation blocks zero-qty line. Error message clear. PO not saved with invalid lines.</t>
  </si>
  <si>
    <t xml:space="preserve">PR-EC-02</t>
  </si>
  <si>
    <t xml:space="preserve">Receive qty &gt; ordered qty – system behavior</t>
  </si>
  <si>
    <t xml:space="preserve">PO has a line with ordered_qty = 10.</t>
  </si>
  <si>
    <t xml:space="preserve">1. On receiving page, enter received_qty = 15 (more than ordered).
2. Submit.
3. Verify: does system allow it? If yes, verify warehouse_inventory created with 15. If no, verify error shown.</t>
  </si>
  <si>
    <t xml:space="preserve">Document actual behavior. If allowed: warehouse shows 15. If blocked: clear error. Ensure no silent data corruption.</t>
  </si>
  <si>
    <t xml:space="preserve">PR-EC-03</t>
  </si>
  <si>
    <t xml:space="preserve">Inventory status auto-reactivates when stock added</t>
  </si>
  <si>
    <t xml:space="preserve">A warehouse_inventory row has status = Inactive (stock = 0).</t>
  </si>
  <si>
    <t xml:space="preserve">1. Find or create an Inactive stock row (status = Inactive, warehouse_stock = 0).
2. Add stock via a receive action or direct edit.
3. Verify status flips to Active automatically.</t>
  </si>
  <si>
    <t xml:space="preserve">Status auto-transitions: Inactive → Active when warehouse_stock &gt; 0. No manual step needed.</t>
  </si>
  <si>
    <t xml:space="preserve">PR-EC-04</t>
  </si>
  <si>
    <t xml:space="preserve">FIFO ordering in dispatch matches oldest batch first</t>
  </si>
  <si>
    <t xml:space="preserve">Supabase (DB check) + /field/packing</t>
  </si>
  <si>
    <t xml:space="preserve">2 batches of same product: Batch A expiry 01-May-26, Batch B expiry 15-Mar-26.</t>
  </si>
  <si>
    <t xml:space="preserve">1. On packing page, open batch picker for the product.
2. Verify Batch B (15-Mar-26, earlier) appears FIRST.
3. Verify Batch A (01-May-26) appears second.
4. If a batch has no expiry (NULL), verify it appears LAST.</t>
  </si>
  <si>
    <t xml:space="preserve">FIFO enforced: expiration_date ASC NULLS LAST. Earliest expiry batch always first in picker.</t>
  </si>
  <si>
    <t xml:space="preserve">BOONZ ERP – TEST LOG  (fill in every FAIL, BLOCKED, or noteworthy finding)</t>
  </si>
  <si>
    <t xml:space="preserve">Log ID</t>
  </si>
  <si>
    <t xml:space="preserve">Time</t>
  </si>
  <si>
    <t xml:space="preserve">Environment</t>
  </si>
  <si>
    <t xml:space="preserve">Result
(Pass/Fail/Blocked/Skip)</t>
  </si>
  <si>
    <t xml:space="preserve">Actual Behaviour Observed</t>
  </si>
  <si>
    <t xml:space="preserve">Screenshots / Evidence</t>
  </si>
  <si>
    <t xml:space="preserve">Bug / Issue Description</t>
  </si>
  <si>
    <t xml:space="preserve">Root Cause Hypothesis</t>
  </si>
  <si>
    <t xml:space="preserve">Follow-up Action</t>
  </si>
  <si>
    <t xml:space="preserve">Resolved? (Y/N)</t>
  </si>
  <si>
    <t xml:space="preserve">BOONZ ERP – TESTING SUMMARY DASHBOARD</t>
  </si>
  <si>
    <t xml:space="preserve">📊  OVERALL TEST PROGRESS</t>
  </si>
  <si>
    <t xml:space="preserve">✅ PASS</t>
  </si>
  <si>
    <t xml:space="preserve">❌ FAIL</t>
  </si>
  <si>
    <t xml:space="preserve">⚠️ BLOCKED</t>
  </si>
  <si>
    <t xml:space="preserve">⏭️ SKIP</t>
  </si>
  <si>
    <t xml:space="preserve">Not Yet Tested</t>
  </si>
  <si>
    <t xml:space="preserve">📋  MODULE BREAKDOWN</t>
  </si>
  <si>
    <t xml:space="preserve">Total TCs</t>
  </si>
  <si>
    <t xml:space="preserve">Critical TCs</t>
  </si>
  <si>
    <t xml:space="preserve">Edge Case TCs</t>
  </si>
  <si>
    <t xml:space="preserve">Notes</t>
  </si>
  <si>
    <t xml:space="preserve">Refill &amp; Dispatch</t>
  </si>
  <si>
    <t xml:space="preserve">Full end-to-end daily flow</t>
  </si>
  <si>
    <t xml:space="preserve">Procurement &amp; Stage 1</t>
  </si>
  <si>
    <t xml:space="preserve">PO create → receive → B1/B2/B3 audit</t>
  </si>
  <si>
    <t xml:space="preserve">🔴  CRITICAL TEST CASES (must pass before go-live)</t>
  </si>
  <si>
    <t xml:space="preserve">💡  LEGEND &amp; TIPS</t>
  </si>
  <si>
    <t xml:space="preserve">  • Light blue rows in TC sheets = Edge Cases (trickiest scenarios, test these carefully)</t>
  </si>
  <si>
    <t xml:space="preserve">  • 🔴 Critical priority = blocking issues for go-live. All must be PASS.</t>
  </si>
  <si>
    <t xml:space="preserve">  • 🟠 High priority = important functional tests. Aim for 100% coverage.</t>
  </si>
  <si>
    <t xml:space="preserve">  • Test Log sheet tracks every anomaly – fill it in even for minor observations.</t>
  </si>
  <si>
    <t xml:space="preserve">  • Re-test FAIL items after a fix is deployed before marking resolved.</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</si>
</sst>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2"/>
      <color rgb="FFFFFFFF"/>
      <name val="Arial"/>
      <family val="0"/>
      <charset val="1"/>
    </font>
    <font>
      <b val="true"/>
      <sz val="10"/>
      <color rgb="FF000000"/>
      <name val="Arial"/>
      <family val="0"/>
      <charset val="1"/>
    </font>
    <font>
      <sz val="10"/>
      <color rgb="FF000000"/>
      <name val="Arial"/>
      <family val="0"/>
      <charset val="1"/>
    </font>
    <font>
      <b val="true"/>
      <sz val="13"/>
      <color rgb="FFFFFFFF"/>
      <name val="Arial"/>
      <family val="0"/>
      <charset val="1"/>
    </font>
    <font>
      <b val="true"/>
      <sz val="9"/>
      <color rgb="FFFFFFFF"/>
      <name val="Arial"/>
      <family val="0"/>
      <charset val="1"/>
    </font>
    <font>
      <sz val="9"/>
      <color rgb="FF000000"/>
      <name val="Arial"/>
      <family val="0"/>
      <charset val="1"/>
    </font>
    <font>
      <b val="true"/>
      <sz val="14"/>
      <color rgb="FFFFFFFF"/>
      <name val="Arial"/>
      <family val="0"/>
      <charset val="1"/>
    </font>
    <font>
      <b val="true"/>
      <sz val="10"/>
      <color rgb="FFFFFFFF"/>
      <name val="Arial"/>
      <family val="0"/>
      <charset val="1"/>
    </font>
    <font>
      <b val="true"/>
      <sz val="11"/>
      <color rgb="FFFFFFFF"/>
      <name val="Arial"/>
      <family val="0"/>
      <charset val="1"/>
    </font>
    <font>
      <u val="single"/>
      <sz val="9"/>
      <color rgb="FF0563C1"/>
      <name val="Arial"/>
      <family val="0"/>
      <charset val="1"/>
    </font>
    <font>
      <b val="true"/>
      <sz val="9"/>
      <color rgb="FF000000"/>
      <name val="Arial"/>
      <family val="0"/>
      <charset val="1"/>
    </font>
    <font>
      <b val="true"/>
      <sz val="16"/>
      <color rgb="FFFFFFFF"/>
      <name val="Arial"/>
      <family val="0"/>
      <charset val="1"/>
    </font>
    <font>
      <b val="true"/>
      <sz val="9"/>
      <color rgb="FF555555"/>
      <name val="Arial"/>
      <family val="0"/>
      <charset val="1"/>
    </font>
    <font>
      <b val="true"/>
      <sz val="22"/>
      <color rgb="FF1B2A4A"/>
      <name val="Arial"/>
      <family val="0"/>
      <charset val="1"/>
    </font>
    <font>
      <b val="true"/>
      <sz val="22"/>
      <color rgb="FF155724"/>
      <name val="Arial"/>
      <family val="0"/>
      <charset val="1"/>
    </font>
    <font>
      <b val="true"/>
      <sz val="22"/>
      <color rgb="FF721C24"/>
      <name val="Arial"/>
      <family val="0"/>
      <charset val="1"/>
    </font>
    <font>
      <b val="true"/>
      <sz val="22"/>
      <color rgb="FF004085"/>
      <name val="Arial"/>
      <family val="0"/>
      <charset val="1"/>
    </font>
    <font>
      <b val="true"/>
      <sz val="22"/>
      <color rgb="FF555555"/>
      <name val="Arial"/>
      <family val="0"/>
      <charset val="1"/>
    </font>
    <font>
      <b val="true"/>
      <sz val="22"/>
      <color rgb="FF856404"/>
      <name val="Arial"/>
      <family val="0"/>
      <charset val="1"/>
    </font>
    <font>
      <b val="true"/>
      <sz val="12"/>
      <color rgb="FFFFFFFF"/>
      <name val="Arial"/>
      <family val="0"/>
      <charset val="1"/>
    </font>
  </fonts>
  <fills count="15">
    <fill>
      <patternFill patternType="none"/>
    </fill>
    <fill>
      <patternFill patternType="gray125"/>
    </fill>
    <fill>
      <patternFill patternType="solid">
        <fgColor rgb="FFFFFFFF"/>
        <bgColor rgb="FFF8F9FA"/>
      </patternFill>
    </fill>
    <fill>
      <patternFill patternType="solid">
        <fgColor rgb="FF1B2A4A"/>
        <bgColor rgb="FF333300"/>
      </patternFill>
    </fill>
    <fill>
      <patternFill patternType="solid">
        <fgColor rgb="FF0D7377"/>
        <bgColor rgb="FF008080"/>
      </patternFill>
    </fill>
    <fill>
      <patternFill patternType="solid">
        <fgColor rgb="FFE8EEF7"/>
        <bgColor rgb="FFDDEEFF"/>
      </patternFill>
    </fill>
    <fill>
      <patternFill patternType="solid">
        <fgColor rgb="FFE07B39"/>
        <bgColor rgb="FFFF6600"/>
      </patternFill>
    </fill>
    <fill>
      <patternFill patternType="solid">
        <fgColor rgb="FFF8F9FA"/>
        <bgColor rgb="FFFFFFFF"/>
      </patternFill>
    </fill>
    <fill>
      <patternFill patternType="solid">
        <fgColor rgb="FFFFF3CD"/>
        <bgColor rgb="FFFFFBE6"/>
      </patternFill>
    </fill>
    <fill>
      <patternFill patternType="solid">
        <fgColor rgb="FFDDEEFF"/>
        <bgColor rgb="FFE8EEF7"/>
      </patternFill>
    </fill>
    <fill>
      <patternFill patternType="solid">
        <fgColor rgb="FFD4EDDA"/>
        <bgColor rgb="FFDDEEFF"/>
      </patternFill>
    </fill>
    <fill>
      <patternFill patternType="solid">
        <fgColor rgb="FFF8D7DA"/>
        <bgColor rgb="FFE8EEF7"/>
      </patternFill>
    </fill>
    <fill>
      <patternFill patternType="solid">
        <fgColor rgb="FFCCE5FF"/>
        <bgColor rgb="FFDDEEFF"/>
      </patternFill>
    </fill>
    <fill>
      <patternFill patternType="solid">
        <fgColor rgb="FFFFFBE6"/>
        <bgColor rgb="FFF8F9FA"/>
      </patternFill>
    </fill>
    <fill>
      <patternFill patternType="solid">
        <fgColor rgb="FFC0392B"/>
        <bgColor rgb="FF993366"/>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center" vertical="center" textRotation="0" wrapText="true" indent="0" shrinkToFit="false"/>
      <protection locked="true" hidden="false"/>
    </xf>
    <xf numFmtId="164" fontId="5" fillId="4" borderId="0"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left" vertical="top" textRotation="0" wrapText="true" indent="0" shrinkToFit="false"/>
      <protection locked="true" hidden="false"/>
    </xf>
    <xf numFmtId="164" fontId="14" fillId="7" borderId="2" xfId="0" applyFont="true" applyBorder="true" applyAlignment="true" applyProtection="false">
      <alignment horizontal="left" vertical="top" textRotation="0" wrapText="true" indent="0" shrinkToFit="false"/>
      <protection locked="true" hidden="false"/>
    </xf>
    <xf numFmtId="164" fontId="15" fillId="8" borderId="2" xfId="0" applyFont="true" applyBorder="true" applyAlignment="true" applyProtection="false">
      <alignment horizontal="center" vertical="center" textRotation="0" wrapText="tru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10" fillId="2" borderId="2" xfId="0" applyFont="true" applyBorder="true" applyAlignment="true" applyProtection="false">
      <alignment horizontal="left" vertical="top" textRotation="0" wrapText="true" indent="0" shrinkToFit="false"/>
      <protection locked="true" hidden="false"/>
    </xf>
    <xf numFmtId="164" fontId="14" fillId="2" borderId="2" xfId="0" applyFont="true" applyBorder="true" applyAlignment="true" applyProtection="false">
      <alignment horizontal="left" vertical="top" textRotation="0" wrapText="true" indent="0" shrinkToFit="false"/>
      <protection locked="true" hidden="false"/>
    </xf>
    <xf numFmtId="164" fontId="10" fillId="9" borderId="2" xfId="0" applyFont="true" applyBorder="true" applyAlignment="true" applyProtection="false">
      <alignment horizontal="center" vertical="center" textRotation="0" wrapText="true" indent="0" shrinkToFit="false"/>
      <protection locked="true" hidden="false"/>
    </xf>
    <xf numFmtId="164" fontId="10" fillId="9" borderId="2" xfId="0" applyFont="true" applyBorder="true" applyAlignment="true" applyProtection="false">
      <alignment horizontal="left" vertical="top" textRotation="0" wrapText="true" indent="0" shrinkToFit="false"/>
      <protection locked="true" hidden="false"/>
    </xf>
    <xf numFmtId="164" fontId="14" fillId="9" borderId="2" xfId="0" applyFont="true" applyBorder="true" applyAlignment="true" applyProtection="false">
      <alignment horizontal="left" vertical="top" textRotation="0" wrapText="true" indent="0" shrinkToFit="false"/>
      <protection locked="true" hidden="false"/>
    </xf>
    <xf numFmtId="164" fontId="15" fillId="10" borderId="2" xfId="0" applyFont="true" applyBorder="true" applyAlignment="true" applyProtection="false">
      <alignment horizontal="center" vertical="center" textRotation="0" wrapText="true" indent="0" shrinkToFit="false"/>
      <protection locked="true" hidden="false"/>
    </xf>
    <xf numFmtId="164" fontId="15" fillId="11" borderId="2" xfId="0" applyFont="true" applyBorder="true" applyAlignment="true" applyProtection="false">
      <alignment horizontal="center" vertical="center" textRotation="0" wrapText="true" indent="0" shrinkToFit="false"/>
      <protection locked="true" hidden="false"/>
    </xf>
    <xf numFmtId="164" fontId="15" fillId="2" borderId="2"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64" fontId="16" fillId="3" borderId="0" xfId="0" applyFont="true" applyBorder="true" applyAlignment="true" applyProtection="false">
      <alignment horizontal="center" vertical="center" textRotation="0" wrapText="true" indent="0" shrinkToFit="false"/>
      <protection locked="true" hidden="false"/>
    </xf>
    <xf numFmtId="164" fontId="17" fillId="7" borderId="2" xfId="0" applyFont="true" applyBorder="true" applyAlignment="true" applyProtection="false">
      <alignment horizontal="center" vertical="center" textRotation="0" wrapText="true" indent="0" shrinkToFit="false"/>
      <protection locked="true" hidden="false"/>
    </xf>
    <xf numFmtId="164" fontId="18" fillId="5" borderId="2" xfId="0" applyFont="true" applyBorder="true" applyAlignment="true" applyProtection="false">
      <alignment horizontal="center" vertical="center" textRotation="0" wrapText="true" indent="0" shrinkToFit="false"/>
      <protection locked="true" hidden="false"/>
    </xf>
    <xf numFmtId="164" fontId="19" fillId="10" borderId="2" xfId="0" applyFont="true" applyBorder="true" applyAlignment="true" applyProtection="false">
      <alignment horizontal="center" vertical="center" textRotation="0" wrapText="true" indent="0" shrinkToFit="false"/>
      <protection locked="true" hidden="false"/>
    </xf>
    <xf numFmtId="164" fontId="20" fillId="11" borderId="2" xfId="0" applyFont="true" applyBorder="true" applyAlignment="true" applyProtection="false">
      <alignment horizontal="center" vertical="center" textRotation="0" wrapText="true" indent="0" shrinkToFit="false"/>
      <protection locked="true" hidden="false"/>
    </xf>
    <xf numFmtId="164" fontId="21" fillId="12" borderId="2" xfId="0" applyFont="true" applyBorder="true" applyAlignment="true" applyProtection="false">
      <alignment horizontal="center" vertical="center" textRotation="0" wrapText="true" indent="0" shrinkToFit="false"/>
      <protection locked="true" hidden="false"/>
    </xf>
    <xf numFmtId="164" fontId="22" fillId="7" borderId="2" xfId="0" applyFont="true" applyBorder="true" applyAlignment="true" applyProtection="false">
      <alignment horizontal="center" vertical="center" textRotation="0" wrapText="true" indent="0" shrinkToFit="false"/>
      <protection locked="true" hidden="false"/>
    </xf>
    <xf numFmtId="164" fontId="23" fillId="13" borderId="2" xfId="0" applyFont="true" applyBorder="true" applyAlignment="true" applyProtection="false">
      <alignment horizontal="center" vertical="center" textRotation="0" wrapText="true" indent="0" shrinkToFit="false"/>
      <protection locked="true" hidden="false"/>
    </xf>
    <xf numFmtId="164" fontId="24" fillId="3" borderId="0"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15" fillId="7" borderId="2" xfId="0" applyFont="true" applyBorder="true" applyAlignment="true" applyProtection="false">
      <alignment horizontal="center" vertical="center" textRotation="0" wrapText="true" indent="0" shrinkToFit="false"/>
      <protection locked="true" hidden="false"/>
    </xf>
    <xf numFmtId="164" fontId="13" fillId="14" borderId="0"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13" fillId="4" borderId="0"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D4EDDA"/>
        </patternFill>
      </fill>
    </dxf>
    <dxf>
      <fill>
        <patternFill>
          <bgColor rgb="FFF8D7DA"/>
        </patternFill>
      </fill>
    </dxf>
    <dxf>
      <fill>
        <patternFill>
          <bgColor rgb="FFCCE5FF"/>
        </patternFill>
      </fill>
    </dxf>
  </dxfs>
  <colors>
    <indexedColors>
      <rgbColor rgb="FF000000"/>
      <rgbColor rgb="FFFFFFFF"/>
      <rgbColor rgb="FFFF0000"/>
      <rgbColor rgb="FF00FF00"/>
      <rgbColor rgb="FF0000FF"/>
      <rgbColor rgb="FFFFFF00"/>
      <rgbColor rgb="FFFF00FF"/>
      <rgbColor rgb="FF00FFFF"/>
      <rgbColor rgb="FF721C24"/>
      <rgbColor rgb="FF008000"/>
      <rgbColor rgb="FF000080"/>
      <rgbColor rgb="FF856404"/>
      <rgbColor rgb="FF800080"/>
      <rgbColor rgb="FF0D7377"/>
      <rgbColor rgb="FFCCCCCC"/>
      <rgbColor rgb="FF808080"/>
      <rgbColor rgb="FF9999FF"/>
      <rgbColor rgb="FF993366"/>
      <rgbColor rgb="FFFFFBE6"/>
      <rgbColor rgb="FFDDEEFF"/>
      <rgbColor rgb="FF660066"/>
      <rgbColor rgb="FFE07B39"/>
      <rgbColor rgb="FF0563C1"/>
      <rgbColor rgb="FFCCE5FF"/>
      <rgbColor rgb="FF000080"/>
      <rgbColor rgb="FFFF00FF"/>
      <rgbColor rgb="FFFFFF00"/>
      <rgbColor rgb="FF00FFFF"/>
      <rgbColor rgb="FF800080"/>
      <rgbColor rgb="FF800000"/>
      <rgbColor rgb="FF008080"/>
      <rgbColor rgb="FF0000FF"/>
      <rgbColor rgb="FF00CCFF"/>
      <rgbColor rgb="FFE8EEF7"/>
      <rgbColor rgb="FFD4EDDA"/>
      <rgbColor rgb="FFFFF3CD"/>
      <rgbColor rgb="FFF8F9FA"/>
      <rgbColor rgb="FFFF99CC"/>
      <rgbColor rgb="FFCC99FF"/>
      <rgbColor rgb="FFF8D7DA"/>
      <rgbColor rgb="FF3366FF"/>
      <rgbColor rgb="FF33CCCC"/>
      <rgbColor rgb="FF99CC00"/>
      <rgbColor rgb="FFFFCC00"/>
      <rgbColor rgb="FFFF9900"/>
      <rgbColor rgb="FFFF6600"/>
      <rgbColor rgb="FF555555"/>
      <rgbColor rgb="FF969696"/>
      <rgbColor rgb="FF004085"/>
      <rgbColor rgb="FF339966"/>
      <rgbColor rgb="FF155724"/>
      <rgbColor rgb="FF333300"/>
      <rgbColor rgb="FFC0392B"/>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11" min="3" style="0" width="18"/>
  </cols>
  <sheetData>
    <row r="1" customFormat="false" ht="15" hidden="false" customHeight="false" outlineLevel="0" collapsed="false">
      <c r="A1" s="1"/>
      <c r="B1" s="1"/>
      <c r="C1" s="1"/>
      <c r="D1" s="1"/>
      <c r="E1" s="1"/>
      <c r="F1" s="1"/>
      <c r="G1" s="1"/>
      <c r="H1" s="1"/>
      <c r="I1" s="1"/>
      <c r="J1" s="1"/>
      <c r="K1" s="1"/>
      <c r="L1" s="1"/>
    </row>
    <row r="2" customFormat="false" ht="30" hidden="false" customHeight="true" outlineLevel="0" collapsed="false">
      <c r="A2" s="1"/>
      <c r="B2" s="2" t="s">
        <v>0</v>
      </c>
      <c r="C2" s="2"/>
      <c r="D2" s="2"/>
      <c r="E2" s="2"/>
      <c r="F2" s="2"/>
      <c r="G2" s="2"/>
      <c r="H2" s="2"/>
      <c r="I2" s="2"/>
      <c r="J2" s="2"/>
      <c r="K2" s="2"/>
      <c r="L2" s="1"/>
    </row>
    <row r="3" customFormat="false" ht="30" hidden="false" customHeight="true" outlineLevel="0" collapsed="false">
      <c r="A3" s="1"/>
      <c r="B3" s="2"/>
      <c r="C3" s="2"/>
      <c r="D3" s="2"/>
      <c r="E3" s="2"/>
      <c r="F3" s="2"/>
      <c r="G3" s="2"/>
      <c r="H3" s="2"/>
      <c r="I3" s="2"/>
      <c r="J3" s="2"/>
      <c r="K3" s="2"/>
      <c r="L3" s="1"/>
    </row>
    <row r="4" customFormat="false" ht="30" hidden="false" customHeight="true" outlineLevel="0" collapsed="false">
      <c r="A4" s="1"/>
      <c r="B4" s="2"/>
      <c r="C4" s="2"/>
      <c r="D4" s="2"/>
      <c r="E4" s="2"/>
      <c r="F4" s="2"/>
      <c r="G4" s="2"/>
      <c r="H4" s="2"/>
      <c r="I4" s="2"/>
      <c r="J4" s="2"/>
      <c r="K4" s="2"/>
      <c r="L4" s="1"/>
    </row>
    <row r="5" customFormat="false" ht="21.75" hidden="false" customHeight="true" outlineLevel="0" collapsed="false">
      <c r="A5" s="1"/>
      <c r="B5" s="3" t="s">
        <v>1</v>
      </c>
      <c r="C5" s="3"/>
      <c r="D5" s="3"/>
      <c r="E5" s="3"/>
      <c r="F5" s="3"/>
      <c r="G5" s="3"/>
      <c r="H5" s="3"/>
      <c r="I5" s="3"/>
      <c r="J5" s="3"/>
      <c r="K5" s="3"/>
      <c r="L5" s="1"/>
    </row>
    <row r="6" customFormat="false" ht="15" hidden="false" customHeight="false" outlineLevel="0" collapsed="false">
      <c r="A6" s="1"/>
      <c r="B6" s="1"/>
      <c r="C6" s="1"/>
      <c r="D6" s="1"/>
      <c r="E6" s="1"/>
      <c r="F6" s="1"/>
      <c r="G6" s="1"/>
      <c r="H6" s="1"/>
      <c r="I6" s="1"/>
      <c r="J6" s="1"/>
      <c r="K6" s="1"/>
      <c r="L6" s="1"/>
    </row>
    <row r="7" customFormat="false" ht="18" hidden="false" customHeight="true" outlineLevel="0" collapsed="false">
      <c r="A7" s="1"/>
      <c r="B7" s="4" t="s">
        <v>2</v>
      </c>
      <c r="C7" s="4"/>
      <c r="D7" s="4"/>
      <c r="E7" s="5" t="s">
        <v>3</v>
      </c>
      <c r="F7" s="5"/>
      <c r="G7" s="5"/>
      <c r="H7" s="5"/>
      <c r="I7" s="5"/>
      <c r="J7" s="5"/>
      <c r="K7" s="5"/>
      <c r="L7" s="1"/>
    </row>
    <row r="8" customFormat="false" ht="18" hidden="false" customHeight="true" outlineLevel="0" collapsed="false">
      <c r="A8" s="1"/>
      <c r="B8" s="4" t="s">
        <v>4</v>
      </c>
      <c r="C8" s="4"/>
      <c r="D8" s="4"/>
      <c r="E8" s="5" t="s">
        <v>5</v>
      </c>
      <c r="F8" s="5"/>
      <c r="G8" s="5"/>
      <c r="H8" s="5"/>
      <c r="I8" s="5"/>
      <c r="J8" s="5"/>
      <c r="K8" s="5"/>
      <c r="L8" s="1"/>
    </row>
    <row r="9" customFormat="false" ht="18" hidden="false" customHeight="true" outlineLevel="0" collapsed="false">
      <c r="A9" s="1"/>
      <c r="B9" s="4" t="s">
        <v>6</v>
      </c>
      <c r="C9" s="4"/>
      <c r="D9" s="4"/>
      <c r="E9" s="5" t="s">
        <v>7</v>
      </c>
      <c r="F9" s="5"/>
      <c r="G9" s="5"/>
      <c r="H9" s="5"/>
      <c r="I9" s="5"/>
      <c r="J9" s="5"/>
      <c r="K9" s="5"/>
      <c r="L9" s="1"/>
    </row>
    <row r="10" customFormat="false" ht="18" hidden="false" customHeight="true" outlineLevel="0" collapsed="false">
      <c r="A10" s="1"/>
      <c r="B10" s="4" t="s">
        <v>8</v>
      </c>
      <c r="C10" s="4"/>
      <c r="D10" s="4"/>
      <c r="E10" s="5" t="s">
        <v>9</v>
      </c>
      <c r="F10" s="5"/>
      <c r="G10" s="5"/>
      <c r="H10" s="5"/>
      <c r="I10" s="5"/>
      <c r="J10" s="5"/>
      <c r="K10" s="5"/>
      <c r="L10" s="1"/>
    </row>
    <row r="11" customFormat="false" ht="18" hidden="false" customHeight="true" outlineLevel="0" collapsed="false">
      <c r="A11" s="1"/>
      <c r="B11" s="4" t="s">
        <v>10</v>
      </c>
      <c r="C11" s="4"/>
      <c r="D11" s="4"/>
      <c r="E11" s="5" t="s">
        <v>9</v>
      </c>
      <c r="F11" s="5"/>
      <c r="G11" s="5"/>
      <c r="H11" s="5"/>
      <c r="I11" s="5"/>
      <c r="J11" s="5"/>
      <c r="K11" s="5"/>
      <c r="L11" s="1"/>
    </row>
    <row r="12" customFormat="false" ht="18" hidden="false" customHeight="true" outlineLevel="0" collapsed="false">
      <c r="A12" s="1"/>
      <c r="B12" s="4" t="s">
        <v>11</v>
      </c>
      <c r="C12" s="4"/>
      <c r="D12" s="4"/>
      <c r="E12" s="5" t="s">
        <v>12</v>
      </c>
      <c r="F12" s="5"/>
      <c r="G12" s="5"/>
      <c r="H12" s="5"/>
      <c r="I12" s="5"/>
      <c r="J12" s="5"/>
      <c r="K12" s="5"/>
      <c r="L12" s="1"/>
    </row>
    <row r="13" customFormat="false" ht="18" hidden="false" customHeight="true" outlineLevel="0" collapsed="false">
      <c r="A13" s="1"/>
      <c r="B13" s="4" t="s">
        <v>13</v>
      </c>
      <c r="C13" s="4"/>
      <c r="D13" s="4"/>
      <c r="E13" s="5" t="s">
        <v>14</v>
      </c>
      <c r="F13" s="5"/>
      <c r="G13" s="5"/>
      <c r="H13" s="5"/>
      <c r="I13" s="5"/>
      <c r="J13" s="5"/>
      <c r="K13" s="5"/>
      <c r="L13" s="1"/>
    </row>
    <row r="14" customFormat="false" ht="18" hidden="false" customHeight="true" outlineLevel="0" collapsed="false">
      <c r="A14" s="1"/>
      <c r="B14" s="4" t="s">
        <v>15</v>
      </c>
      <c r="C14" s="4"/>
      <c r="D14" s="4"/>
      <c r="E14" s="5" t="s">
        <v>16</v>
      </c>
      <c r="F14" s="5"/>
      <c r="G14" s="5"/>
      <c r="H14" s="5"/>
      <c r="I14" s="5"/>
      <c r="J14" s="5"/>
      <c r="K14" s="5"/>
      <c r="L14" s="1"/>
    </row>
    <row r="15" customFormat="false" ht="18" hidden="false" customHeight="true" outlineLevel="0" collapsed="false">
      <c r="A15" s="1"/>
      <c r="B15" s="4" t="s">
        <v>17</v>
      </c>
      <c r="C15" s="4"/>
      <c r="D15" s="4"/>
      <c r="E15" s="5" t="s">
        <v>18</v>
      </c>
      <c r="F15" s="5"/>
      <c r="G15" s="5"/>
      <c r="H15" s="5"/>
      <c r="I15" s="5"/>
      <c r="J15" s="5"/>
      <c r="K15" s="5"/>
      <c r="L15" s="1"/>
    </row>
    <row r="16" customFormat="false" ht="15" hidden="false" customHeight="false" outlineLevel="0" collapsed="false">
      <c r="A16" s="1"/>
      <c r="B16" s="1"/>
      <c r="C16" s="1"/>
      <c r="D16" s="1"/>
      <c r="E16" s="1"/>
      <c r="F16" s="1"/>
      <c r="G16" s="1"/>
      <c r="H16" s="1"/>
      <c r="I16" s="1"/>
      <c r="J16" s="1"/>
      <c r="K16" s="1"/>
      <c r="L16" s="1"/>
    </row>
    <row r="17" customFormat="false" ht="21.75" hidden="false" customHeight="true" outlineLevel="0" collapsed="false">
      <c r="A17" s="1"/>
      <c r="B17" s="6" t="s">
        <v>19</v>
      </c>
      <c r="C17" s="6"/>
      <c r="D17" s="6"/>
      <c r="E17" s="6"/>
      <c r="F17" s="6"/>
      <c r="G17" s="6"/>
      <c r="H17" s="6"/>
      <c r="I17" s="6"/>
      <c r="J17" s="6"/>
      <c r="K17" s="6"/>
      <c r="L17" s="1"/>
    </row>
    <row r="18" customFormat="false" ht="60" hidden="false" customHeight="true" outlineLevel="0" collapsed="false">
      <c r="A18" s="1"/>
      <c r="B18" s="7" t="s">
        <v>20</v>
      </c>
      <c r="C18" s="7"/>
      <c r="D18" s="8" t="s">
        <v>21</v>
      </c>
      <c r="E18" s="8"/>
      <c r="F18" s="8"/>
      <c r="G18" s="8"/>
      <c r="H18" s="8"/>
      <c r="I18" s="8"/>
      <c r="J18" s="8"/>
      <c r="K18" s="8"/>
      <c r="L18" s="1"/>
    </row>
    <row r="19" customFormat="false" ht="60" hidden="false" customHeight="true" outlineLevel="0" collapsed="false">
      <c r="A19" s="1"/>
      <c r="B19" s="7" t="s">
        <v>22</v>
      </c>
      <c r="C19" s="7"/>
      <c r="D19" s="9" t="s">
        <v>23</v>
      </c>
      <c r="E19" s="9"/>
      <c r="F19" s="9"/>
      <c r="G19" s="9"/>
      <c r="H19" s="9"/>
      <c r="I19" s="9"/>
      <c r="J19" s="9"/>
      <c r="K19" s="9"/>
      <c r="L19" s="1"/>
    </row>
    <row r="20" customFormat="false" ht="60" hidden="false" customHeight="true" outlineLevel="0" collapsed="false">
      <c r="A20" s="1"/>
      <c r="B20" s="7" t="s">
        <v>24</v>
      </c>
      <c r="C20" s="7"/>
      <c r="D20" s="8" t="s">
        <v>25</v>
      </c>
      <c r="E20" s="8"/>
      <c r="F20" s="8"/>
      <c r="G20" s="8"/>
      <c r="H20" s="8"/>
      <c r="I20" s="8"/>
      <c r="J20" s="8"/>
      <c r="K20" s="8"/>
      <c r="L20" s="1"/>
    </row>
    <row r="21" customFormat="false" ht="60" hidden="false" customHeight="true" outlineLevel="0" collapsed="false">
      <c r="A21" s="1"/>
      <c r="B21" s="7" t="s">
        <v>26</v>
      </c>
      <c r="C21" s="7"/>
      <c r="D21" s="9" t="s">
        <v>27</v>
      </c>
      <c r="E21" s="9"/>
      <c r="F21" s="9"/>
      <c r="G21" s="9"/>
      <c r="H21" s="9"/>
      <c r="I21" s="9"/>
      <c r="J21" s="9"/>
      <c r="K21" s="9"/>
      <c r="L21" s="1"/>
    </row>
    <row r="22" customFormat="false" ht="60" hidden="false" customHeight="true" outlineLevel="0" collapsed="false">
      <c r="A22" s="1"/>
      <c r="B22" s="7" t="s">
        <v>28</v>
      </c>
      <c r="C22" s="7"/>
      <c r="D22" s="8" t="s">
        <v>29</v>
      </c>
      <c r="E22" s="8"/>
      <c r="F22" s="8"/>
      <c r="G22" s="8"/>
      <c r="H22" s="8"/>
      <c r="I22" s="8"/>
      <c r="J22" s="8"/>
      <c r="K22" s="8"/>
      <c r="L22" s="1"/>
    </row>
    <row r="23" customFormat="false" ht="60" hidden="false" customHeight="true" outlineLevel="0" collapsed="false">
      <c r="A23" s="1"/>
      <c r="B23" s="7" t="s">
        <v>30</v>
      </c>
      <c r="C23" s="7"/>
      <c r="D23" s="9" t="s">
        <v>31</v>
      </c>
      <c r="E23" s="9"/>
      <c r="F23" s="9"/>
      <c r="G23" s="9"/>
      <c r="H23" s="9"/>
      <c r="I23" s="9"/>
      <c r="J23" s="9"/>
      <c r="K23" s="9"/>
      <c r="L23" s="1"/>
    </row>
    <row r="24" customFormat="false" ht="60" hidden="false" customHeight="true" outlineLevel="0" collapsed="false">
      <c r="A24" s="1"/>
      <c r="B24" s="7" t="s">
        <v>32</v>
      </c>
      <c r="C24" s="7"/>
      <c r="D24" s="8" t="s">
        <v>33</v>
      </c>
      <c r="E24" s="8"/>
      <c r="F24" s="8"/>
      <c r="G24" s="8"/>
      <c r="H24" s="8"/>
      <c r="I24" s="8"/>
      <c r="J24" s="8"/>
      <c r="K24" s="8"/>
      <c r="L24" s="1"/>
    </row>
    <row r="25" customFormat="false" ht="60" hidden="false" customHeight="true" outlineLevel="0" collapsed="false">
      <c r="A25" s="1"/>
      <c r="B25" s="7" t="s">
        <v>34</v>
      </c>
      <c r="C25" s="7"/>
      <c r="D25" s="9" t="s">
        <v>35</v>
      </c>
      <c r="E25" s="9"/>
      <c r="F25" s="9"/>
      <c r="G25" s="9"/>
      <c r="H25" s="9"/>
      <c r="I25" s="9"/>
      <c r="J25" s="9"/>
      <c r="K25" s="9"/>
      <c r="L25" s="1"/>
    </row>
    <row r="26" customFormat="false" ht="60" hidden="false" customHeight="true" outlineLevel="0" collapsed="false">
      <c r="A26" s="1"/>
      <c r="B26" s="7" t="s">
        <v>36</v>
      </c>
      <c r="C26" s="7"/>
      <c r="D26" s="8" t="s">
        <v>37</v>
      </c>
      <c r="E26" s="8"/>
      <c r="F26" s="8"/>
      <c r="G26" s="8"/>
      <c r="H26" s="8"/>
      <c r="I26" s="8"/>
      <c r="J26" s="8"/>
      <c r="K26" s="8"/>
      <c r="L26" s="1"/>
    </row>
    <row r="27" customFormat="false" ht="15" hidden="false" customHeight="false" outlineLevel="0" collapsed="false">
      <c r="A27" s="1"/>
      <c r="B27" s="1"/>
      <c r="C27" s="1"/>
      <c r="D27" s="1"/>
      <c r="E27" s="1"/>
      <c r="F27" s="1"/>
      <c r="G27" s="1"/>
      <c r="H27" s="1"/>
      <c r="I27" s="1"/>
      <c r="J27" s="1"/>
      <c r="K27" s="1"/>
      <c r="L27" s="1"/>
    </row>
    <row r="28" customFormat="false" ht="15" hidden="false" customHeight="false" outlineLevel="0" collapsed="false">
      <c r="A28" s="1"/>
      <c r="B28" s="1"/>
      <c r="C28" s="1"/>
      <c r="D28" s="1"/>
      <c r="E28" s="1"/>
      <c r="F28" s="1"/>
      <c r="G28" s="1"/>
      <c r="H28" s="1"/>
      <c r="I28" s="1"/>
      <c r="J28" s="1"/>
      <c r="K28" s="1"/>
      <c r="L28" s="1"/>
    </row>
    <row r="29" customFormat="false" ht="15" hidden="false" customHeight="false" outlineLevel="0" collapsed="false">
      <c r="A29" s="1"/>
      <c r="B29" s="1"/>
      <c r="C29" s="1"/>
      <c r="D29" s="1"/>
      <c r="E29" s="1"/>
      <c r="F29" s="1"/>
      <c r="G29" s="1"/>
      <c r="H29" s="1"/>
      <c r="I29" s="1"/>
      <c r="J29" s="1"/>
      <c r="K29" s="1"/>
      <c r="L29" s="1"/>
    </row>
    <row r="30" customFormat="false" ht="15" hidden="false" customHeight="false" outlineLevel="0" collapsed="false">
      <c r="A30" s="1"/>
      <c r="B30" s="1"/>
      <c r="C30" s="1"/>
      <c r="D30" s="1"/>
      <c r="E30" s="1"/>
      <c r="F30" s="1"/>
      <c r="G30" s="1"/>
      <c r="H30" s="1"/>
      <c r="I30" s="1"/>
      <c r="J30" s="1"/>
      <c r="K30" s="1"/>
      <c r="L30" s="1"/>
    </row>
    <row r="31" customFormat="false" ht="15" hidden="false" customHeight="false" outlineLevel="0" collapsed="false">
      <c r="A31" s="1"/>
      <c r="B31" s="1"/>
      <c r="C31" s="1"/>
      <c r="D31" s="1"/>
      <c r="E31" s="1"/>
      <c r="F31" s="1"/>
      <c r="G31" s="1"/>
      <c r="H31" s="1"/>
      <c r="I31" s="1"/>
      <c r="J31" s="1"/>
      <c r="K31" s="1"/>
      <c r="L31" s="1"/>
    </row>
    <row r="32" customFormat="false" ht="15" hidden="false" customHeight="false" outlineLevel="0" collapsed="false">
      <c r="A32" s="1"/>
      <c r="B32" s="1"/>
      <c r="C32" s="1"/>
      <c r="D32" s="1"/>
      <c r="E32" s="1"/>
      <c r="F32" s="1"/>
      <c r="G32" s="1"/>
      <c r="H32" s="1"/>
      <c r="I32" s="1"/>
      <c r="J32" s="1"/>
      <c r="K32" s="1"/>
      <c r="L32" s="1"/>
    </row>
    <row r="33" customFormat="false" ht="15" hidden="false" customHeight="false" outlineLevel="0" collapsed="false">
      <c r="A33" s="1"/>
      <c r="B33" s="1"/>
      <c r="C33" s="1"/>
      <c r="D33" s="1"/>
      <c r="E33" s="1"/>
      <c r="F33" s="1"/>
      <c r="G33" s="1"/>
      <c r="H33" s="1"/>
      <c r="I33" s="1"/>
      <c r="J33" s="1"/>
      <c r="K33" s="1"/>
      <c r="L33" s="1"/>
    </row>
    <row r="34" customFormat="false" ht="15" hidden="false" customHeight="false" outlineLevel="0" collapsed="false">
      <c r="A34" s="1"/>
      <c r="B34" s="1"/>
      <c r="C34" s="1"/>
      <c r="D34" s="1"/>
      <c r="E34" s="1"/>
      <c r="F34" s="1"/>
      <c r="G34" s="1"/>
      <c r="H34" s="1"/>
      <c r="I34" s="1"/>
      <c r="J34" s="1"/>
      <c r="K34" s="1"/>
      <c r="L34" s="1"/>
    </row>
    <row r="35" customFormat="false" ht="15" hidden="false" customHeight="false" outlineLevel="0" collapsed="false">
      <c r="A35" s="1"/>
      <c r="B35" s="1"/>
      <c r="C35" s="1"/>
      <c r="D35" s="1"/>
      <c r="E35" s="1"/>
      <c r="F35" s="1"/>
      <c r="G35" s="1"/>
      <c r="H35" s="1"/>
      <c r="I35" s="1"/>
      <c r="J35" s="1"/>
      <c r="K35" s="1"/>
      <c r="L35" s="1"/>
    </row>
    <row r="36" customFormat="false" ht="15" hidden="false" customHeight="false" outlineLevel="0" collapsed="false">
      <c r="A36" s="1"/>
      <c r="B36" s="1"/>
      <c r="C36" s="1"/>
      <c r="D36" s="1"/>
      <c r="E36" s="1"/>
      <c r="F36" s="1"/>
      <c r="G36" s="1"/>
      <c r="H36" s="1"/>
      <c r="I36" s="1"/>
      <c r="J36" s="1"/>
      <c r="K36" s="1"/>
      <c r="L36" s="1"/>
    </row>
    <row r="37" customFormat="false" ht="15" hidden="false" customHeight="false" outlineLevel="0" collapsed="false">
      <c r="A37" s="1"/>
      <c r="B37" s="1"/>
      <c r="C37" s="1"/>
      <c r="D37" s="1"/>
      <c r="E37" s="1"/>
      <c r="F37" s="1"/>
      <c r="G37" s="1"/>
      <c r="H37" s="1"/>
      <c r="I37" s="1"/>
      <c r="J37" s="1"/>
      <c r="K37" s="1"/>
      <c r="L37" s="1"/>
    </row>
    <row r="38" customFormat="false" ht="15" hidden="false" customHeight="false" outlineLevel="0" collapsed="false">
      <c r="A38" s="1"/>
      <c r="B38" s="1"/>
      <c r="C38" s="1"/>
      <c r="D38" s="1"/>
      <c r="E38" s="1"/>
      <c r="F38" s="1"/>
      <c r="G38" s="1"/>
      <c r="H38" s="1"/>
      <c r="I38" s="1"/>
      <c r="J38" s="1"/>
      <c r="K38" s="1"/>
      <c r="L38" s="1"/>
    </row>
    <row r="39" customFormat="false" ht="15" hidden="false" customHeight="false" outlineLevel="0" collapsed="false">
      <c r="A39" s="1"/>
      <c r="B39" s="1"/>
      <c r="C39" s="1"/>
      <c r="D39" s="1"/>
      <c r="E39" s="1"/>
      <c r="F39" s="1"/>
      <c r="G39" s="1"/>
      <c r="H39" s="1"/>
      <c r="I39" s="1"/>
      <c r="J39" s="1"/>
      <c r="K39" s="1"/>
      <c r="L39" s="1"/>
    </row>
    <row r="40" customFormat="false" ht="15" hidden="false" customHeight="false" outlineLevel="0" collapsed="false">
      <c r="A40" s="1"/>
      <c r="B40" s="1"/>
      <c r="C40" s="1"/>
      <c r="D40" s="1"/>
      <c r="E40" s="1"/>
      <c r="F40" s="1"/>
      <c r="G40" s="1"/>
      <c r="H40" s="1"/>
      <c r="I40" s="1"/>
      <c r="J40" s="1"/>
      <c r="K40" s="1"/>
      <c r="L40" s="1"/>
    </row>
    <row r="41" customFormat="false" ht="15" hidden="false" customHeight="false" outlineLevel="0" collapsed="false">
      <c r="A41" s="1"/>
      <c r="B41" s="1"/>
      <c r="C41" s="1"/>
      <c r="D41" s="1"/>
      <c r="E41" s="1"/>
      <c r="F41" s="1"/>
      <c r="G41" s="1"/>
      <c r="H41" s="1"/>
      <c r="I41" s="1"/>
      <c r="J41" s="1"/>
      <c r="K41" s="1"/>
      <c r="L41" s="1"/>
    </row>
    <row r="42" customFormat="false" ht="15" hidden="false" customHeight="false" outlineLevel="0" collapsed="false">
      <c r="A42" s="1"/>
      <c r="B42" s="1"/>
      <c r="C42" s="1"/>
      <c r="D42" s="1"/>
      <c r="E42" s="1"/>
      <c r="F42" s="1"/>
      <c r="G42" s="1"/>
      <c r="H42" s="1"/>
      <c r="I42" s="1"/>
      <c r="J42" s="1"/>
      <c r="K42" s="1"/>
      <c r="L42" s="1"/>
    </row>
    <row r="43" customFormat="false" ht="15" hidden="false" customHeight="false" outlineLevel="0" collapsed="false">
      <c r="A43" s="1"/>
      <c r="B43" s="1"/>
      <c r="C43" s="1"/>
      <c r="D43" s="1"/>
      <c r="E43" s="1"/>
      <c r="F43" s="1"/>
      <c r="G43" s="1"/>
      <c r="H43" s="1"/>
      <c r="I43" s="1"/>
      <c r="J43" s="1"/>
      <c r="K43" s="1"/>
      <c r="L43" s="1"/>
    </row>
    <row r="44" customFormat="false" ht="15" hidden="false" customHeight="false" outlineLevel="0" collapsed="false">
      <c r="A44" s="1"/>
      <c r="B44" s="1"/>
      <c r="C44" s="1"/>
      <c r="D44" s="1"/>
      <c r="E44" s="1"/>
      <c r="F44" s="1"/>
      <c r="G44" s="1"/>
      <c r="H44" s="1"/>
      <c r="I44" s="1"/>
      <c r="J44" s="1"/>
      <c r="K44" s="1"/>
      <c r="L44" s="1"/>
    </row>
    <row r="45" customFormat="false" ht="15" hidden="false" customHeight="false" outlineLevel="0" collapsed="false">
      <c r="A45" s="1"/>
      <c r="B45" s="1"/>
      <c r="C45" s="1"/>
      <c r="D45" s="1"/>
      <c r="E45" s="1"/>
      <c r="F45" s="1"/>
      <c r="G45" s="1"/>
      <c r="H45" s="1"/>
      <c r="I45" s="1"/>
      <c r="J45" s="1"/>
      <c r="K45" s="1"/>
      <c r="L45" s="1"/>
    </row>
    <row r="46" customFormat="false" ht="15" hidden="false" customHeight="false" outlineLevel="0" collapsed="false">
      <c r="A46" s="1"/>
      <c r="B46" s="1"/>
      <c r="C46" s="1"/>
      <c r="D46" s="1"/>
      <c r="E46" s="1"/>
      <c r="F46" s="1"/>
      <c r="G46" s="1"/>
      <c r="H46" s="1"/>
      <c r="I46" s="1"/>
      <c r="J46" s="1"/>
      <c r="K46" s="1"/>
      <c r="L46" s="1"/>
    </row>
    <row r="47" customFormat="false" ht="15" hidden="false" customHeight="false" outlineLevel="0" collapsed="false">
      <c r="A47" s="1"/>
      <c r="B47" s="1"/>
      <c r="C47" s="1"/>
      <c r="D47" s="1"/>
      <c r="E47" s="1"/>
      <c r="F47" s="1"/>
      <c r="G47" s="1"/>
      <c r="H47" s="1"/>
      <c r="I47" s="1"/>
      <c r="J47" s="1"/>
      <c r="K47" s="1"/>
      <c r="L47" s="1"/>
    </row>
    <row r="48" customFormat="false" ht="15" hidden="false" customHeight="false" outlineLevel="0" collapsed="false">
      <c r="A48" s="1"/>
      <c r="B48" s="1"/>
      <c r="C48" s="1"/>
      <c r="D48" s="1"/>
      <c r="E48" s="1"/>
      <c r="F48" s="1"/>
      <c r="G48" s="1"/>
      <c r="H48" s="1"/>
      <c r="I48" s="1"/>
      <c r="J48" s="1"/>
      <c r="K48" s="1"/>
      <c r="L48" s="1"/>
    </row>
    <row r="49" customFormat="false" ht="15" hidden="false" customHeight="false" outlineLevel="0" collapsed="false">
      <c r="A49" s="1"/>
      <c r="B49" s="1"/>
      <c r="C49" s="1"/>
      <c r="D49" s="1"/>
      <c r="E49" s="1"/>
      <c r="F49" s="1"/>
      <c r="G49" s="1"/>
      <c r="H49" s="1"/>
      <c r="I49" s="1"/>
      <c r="J49" s="1"/>
      <c r="K49" s="1"/>
      <c r="L49" s="1"/>
    </row>
    <row r="50" customFormat="false" ht="15" hidden="false" customHeight="false" outlineLevel="0" collapsed="false">
      <c r="A50" s="1"/>
      <c r="B50" s="1"/>
      <c r="C50" s="1"/>
      <c r="D50" s="1"/>
      <c r="E50" s="1"/>
      <c r="F50" s="1"/>
      <c r="G50" s="1"/>
      <c r="H50" s="1"/>
      <c r="I50" s="1"/>
      <c r="J50" s="1"/>
      <c r="K50" s="1"/>
      <c r="L50" s="1"/>
    </row>
    <row r="51" customFormat="false" ht="15" hidden="false" customHeight="false" outlineLevel="0" collapsed="false">
      <c r="A51" s="1"/>
      <c r="B51" s="1"/>
      <c r="C51" s="1"/>
      <c r="D51" s="1"/>
      <c r="E51" s="1"/>
      <c r="F51" s="1"/>
      <c r="G51" s="1"/>
      <c r="H51" s="1"/>
      <c r="I51" s="1"/>
      <c r="J51" s="1"/>
      <c r="K51" s="1"/>
      <c r="L51" s="1"/>
    </row>
    <row r="52" customFormat="false" ht="15" hidden="false" customHeight="false" outlineLevel="0" collapsed="false">
      <c r="A52" s="1"/>
      <c r="B52" s="1"/>
      <c r="C52" s="1"/>
      <c r="D52" s="1"/>
      <c r="E52" s="1"/>
      <c r="F52" s="1"/>
      <c r="G52" s="1"/>
      <c r="H52" s="1"/>
      <c r="I52" s="1"/>
      <c r="J52" s="1"/>
      <c r="K52" s="1"/>
      <c r="L52" s="1"/>
    </row>
    <row r="53" customFormat="false" ht="15" hidden="false" customHeight="false" outlineLevel="0" collapsed="false">
      <c r="A53" s="1"/>
      <c r="B53" s="1"/>
      <c r="C53" s="1"/>
      <c r="D53" s="1"/>
      <c r="E53" s="1"/>
      <c r="F53" s="1"/>
      <c r="G53" s="1"/>
      <c r="H53" s="1"/>
      <c r="I53" s="1"/>
      <c r="J53" s="1"/>
      <c r="K53" s="1"/>
      <c r="L53" s="1"/>
    </row>
    <row r="54" customFormat="false" ht="15" hidden="false" customHeight="false" outlineLevel="0" collapsed="false">
      <c r="A54" s="1"/>
      <c r="B54" s="1"/>
      <c r="C54" s="1"/>
      <c r="D54" s="1"/>
      <c r="E54" s="1"/>
      <c r="F54" s="1"/>
      <c r="G54" s="1"/>
      <c r="H54" s="1"/>
      <c r="I54" s="1"/>
      <c r="J54" s="1"/>
      <c r="K54" s="1"/>
      <c r="L54" s="1"/>
    </row>
    <row r="55" customFormat="false" ht="15" hidden="false" customHeight="false" outlineLevel="0" collapsed="false">
      <c r="A55" s="1"/>
      <c r="B55" s="1"/>
      <c r="C55" s="1"/>
      <c r="D55" s="1"/>
      <c r="E55" s="1"/>
      <c r="F55" s="1"/>
      <c r="G55" s="1"/>
      <c r="H55" s="1"/>
      <c r="I55" s="1"/>
      <c r="J55" s="1"/>
      <c r="K55" s="1"/>
      <c r="L55" s="1"/>
    </row>
    <row r="56" customFormat="false" ht="15" hidden="false" customHeight="false" outlineLevel="0" collapsed="false">
      <c r="A56" s="1"/>
      <c r="B56" s="1"/>
      <c r="C56" s="1"/>
      <c r="D56" s="1"/>
      <c r="E56" s="1"/>
      <c r="F56" s="1"/>
      <c r="G56" s="1"/>
      <c r="H56" s="1"/>
      <c r="I56" s="1"/>
      <c r="J56" s="1"/>
      <c r="K56" s="1"/>
      <c r="L56" s="1"/>
    </row>
    <row r="57" customFormat="false" ht="15" hidden="false" customHeight="false" outlineLevel="0" collapsed="false">
      <c r="A57" s="1"/>
      <c r="B57" s="1"/>
      <c r="C57" s="1"/>
      <c r="D57" s="1"/>
      <c r="E57" s="1"/>
      <c r="F57" s="1"/>
      <c r="G57" s="1"/>
      <c r="H57" s="1"/>
      <c r="I57" s="1"/>
      <c r="J57" s="1"/>
      <c r="K57" s="1"/>
      <c r="L57" s="1"/>
    </row>
    <row r="58" customFormat="false" ht="15" hidden="false" customHeight="false" outlineLevel="0" collapsed="false">
      <c r="A58" s="1"/>
      <c r="B58" s="1"/>
      <c r="C58" s="1"/>
      <c r="D58" s="1"/>
      <c r="E58" s="1"/>
      <c r="F58" s="1"/>
      <c r="G58" s="1"/>
      <c r="H58" s="1"/>
      <c r="I58" s="1"/>
      <c r="J58" s="1"/>
      <c r="K58" s="1"/>
      <c r="L58" s="1"/>
    </row>
    <row r="59" customFormat="false" ht="15" hidden="false" customHeight="false" outlineLevel="0" collapsed="false">
      <c r="A59" s="1"/>
      <c r="B59" s="1"/>
      <c r="C59" s="1"/>
      <c r="D59" s="1"/>
      <c r="E59" s="1"/>
      <c r="F59" s="1"/>
      <c r="G59" s="1"/>
      <c r="H59" s="1"/>
      <c r="I59" s="1"/>
      <c r="J59" s="1"/>
      <c r="K59" s="1"/>
      <c r="L59" s="1"/>
    </row>
    <row r="60" customFormat="false" ht="15" hidden="false" customHeight="false" outlineLevel="0" collapsed="false">
      <c r="A60" s="1"/>
      <c r="B60" s="1"/>
      <c r="C60" s="1"/>
      <c r="D60" s="1"/>
      <c r="E60" s="1"/>
      <c r="F60" s="1"/>
      <c r="G60" s="1"/>
      <c r="H60" s="1"/>
      <c r="I60" s="1"/>
      <c r="J60" s="1"/>
      <c r="K60" s="1"/>
      <c r="L60" s="1"/>
    </row>
  </sheetData>
  <mergeCells count="39">
    <mergeCell ref="B2:K4"/>
    <mergeCell ref="B5:K5"/>
    <mergeCell ref="B7:D7"/>
    <mergeCell ref="E7:K7"/>
    <mergeCell ref="B8:D8"/>
    <mergeCell ref="E8:K8"/>
    <mergeCell ref="B9:D9"/>
    <mergeCell ref="E9:K9"/>
    <mergeCell ref="B10:D10"/>
    <mergeCell ref="E10:K10"/>
    <mergeCell ref="B11:D11"/>
    <mergeCell ref="E11:K11"/>
    <mergeCell ref="B12:D12"/>
    <mergeCell ref="E12:K12"/>
    <mergeCell ref="B13:D13"/>
    <mergeCell ref="E13:K13"/>
    <mergeCell ref="B14:D14"/>
    <mergeCell ref="E14:K14"/>
    <mergeCell ref="B15:D15"/>
    <mergeCell ref="E15:K15"/>
    <mergeCell ref="B17:K17"/>
    <mergeCell ref="B18:C18"/>
    <mergeCell ref="D18:K18"/>
    <mergeCell ref="B19:C19"/>
    <mergeCell ref="D19:K19"/>
    <mergeCell ref="B20:C20"/>
    <mergeCell ref="D20:K20"/>
    <mergeCell ref="B21:C21"/>
    <mergeCell ref="D21:K21"/>
    <mergeCell ref="B22:C22"/>
    <mergeCell ref="D22:K22"/>
    <mergeCell ref="B23:C23"/>
    <mergeCell ref="D23:K23"/>
    <mergeCell ref="B24:C24"/>
    <mergeCell ref="D24:K24"/>
    <mergeCell ref="B25:C25"/>
    <mergeCell ref="D25:K25"/>
    <mergeCell ref="B26:C26"/>
    <mergeCell ref="D26:K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6"/>
    <col collapsed="false" customWidth="true" hidden="false" outlineLevel="0" max="5" min="4" style="0" width="32"/>
    <col collapsed="false" customWidth="true" hidden="false" outlineLevel="0" max="6" min="6" style="0" width="48"/>
    <col collapsed="false" customWidth="true" hidden="false" outlineLevel="0" max="7" min="7" style="0" width="38"/>
    <col collapsed="false" customWidth="true" hidden="false" outlineLevel="0" max="9" min="8" style="0" width="10"/>
    <col collapsed="false" customWidth="true" hidden="false" outlineLevel="0" max="10" min="10" style="0" width="14"/>
    <col collapsed="false" customWidth="true" hidden="false" outlineLevel="0" max="11" min="11" style="0" width="32"/>
    <col collapsed="false" customWidth="true" hidden="false" outlineLevel="0" max="12" min="12" style="0" width="14"/>
    <col collapsed="false" customWidth="true" hidden="false" outlineLevel="0" max="13" min="13" style="0" width="12"/>
  </cols>
  <sheetData>
    <row r="1" customFormat="false" ht="27.75" hidden="false" customHeight="true" outlineLevel="0" collapsed="false">
      <c r="A1" s="10" t="s">
        <v>38</v>
      </c>
      <c r="B1" s="10"/>
      <c r="C1" s="10"/>
      <c r="D1" s="10"/>
      <c r="E1" s="10"/>
      <c r="F1" s="10"/>
      <c r="G1" s="10"/>
      <c r="H1" s="10"/>
      <c r="I1" s="10"/>
      <c r="J1" s="10"/>
      <c r="K1" s="10"/>
      <c r="L1" s="10"/>
      <c r="M1" s="10"/>
    </row>
    <row r="2" customFormat="false" ht="21.75" hidden="false" customHeight="true" outlineLevel="0" collapsed="false">
      <c r="A2" s="11" t="s">
        <v>39</v>
      </c>
      <c r="B2" s="11" t="s">
        <v>40</v>
      </c>
      <c r="C2" s="11" t="s">
        <v>41</v>
      </c>
      <c r="D2" s="11" t="s">
        <v>42</v>
      </c>
      <c r="E2" s="11" t="s">
        <v>43</v>
      </c>
      <c r="F2" s="11" t="s">
        <v>44</v>
      </c>
      <c r="G2" s="11" t="s">
        <v>45</v>
      </c>
      <c r="H2" s="11" t="s">
        <v>46</v>
      </c>
      <c r="I2" s="11" t="s">
        <v>47</v>
      </c>
      <c r="J2" s="11" t="s">
        <v>48</v>
      </c>
      <c r="K2" s="11" t="s">
        <v>49</v>
      </c>
      <c r="L2" s="11" t="s">
        <v>50</v>
      </c>
      <c r="M2" s="11" t="s">
        <v>51</v>
      </c>
    </row>
    <row r="3" customFormat="false" ht="19.5" hidden="false" customHeight="true" outlineLevel="0" collapsed="false">
      <c r="A3" s="12" t="s">
        <v>52</v>
      </c>
      <c r="B3" s="12"/>
      <c r="C3" s="12"/>
      <c r="D3" s="12"/>
      <c r="E3" s="12"/>
      <c r="F3" s="12"/>
      <c r="G3" s="12"/>
      <c r="H3" s="12"/>
      <c r="I3" s="12"/>
      <c r="J3" s="12"/>
      <c r="K3" s="12"/>
      <c r="L3" s="12"/>
      <c r="M3" s="12"/>
    </row>
    <row r="4" customFormat="false" ht="60" hidden="false" customHeight="true" outlineLevel="0" collapsed="false">
      <c r="A4" s="13" t="s">
        <v>53</v>
      </c>
      <c r="B4" s="13" t="s">
        <v>54</v>
      </c>
      <c r="C4" s="14" t="s">
        <v>55</v>
      </c>
      <c r="D4" s="15" t="s">
        <v>5</v>
      </c>
      <c r="E4" s="14" t="s">
        <v>56</v>
      </c>
      <c r="F4" s="14" t="s">
        <v>57</v>
      </c>
      <c r="G4" s="14" t="s">
        <v>58</v>
      </c>
      <c r="H4" s="14" t="s">
        <v>59</v>
      </c>
      <c r="I4" s="16" t="s">
        <v>60</v>
      </c>
      <c r="J4" s="13"/>
      <c r="K4" s="14"/>
      <c r="L4" s="14"/>
      <c r="M4" s="14"/>
    </row>
    <row r="5" customFormat="false" ht="60" hidden="false" customHeight="true" outlineLevel="0" collapsed="false">
      <c r="A5" s="17" t="s">
        <v>61</v>
      </c>
      <c r="B5" s="17" t="s">
        <v>54</v>
      </c>
      <c r="C5" s="18" t="s">
        <v>62</v>
      </c>
      <c r="D5" s="19" t="s">
        <v>5</v>
      </c>
      <c r="E5" s="18" t="s">
        <v>63</v>
      </c>
      <c r="F5" s="18" t="s">
        <v>64</v>
      </c>
      <c r="G5" s="18" t="s">
        <v>65</v>
      </c>
      <c r="H5" s="18" t="s">
        <v>59</v>
      </c>
      <c r="I5" s="16" t="s">
        <v>60</v>
      </c>
      <c r="J5" s="17"/>
      <c r="K5" s="18"/>
      <c r="L5" s="18"/>
      <c r="M5" s="18"/>
    </row>
    <row r="6" customFormat="false" ht="19.5" hidden="false" customHeight="true" outlineLevel="0" collapsed="false">
      <c r="A6" s="12" t="s">
        <v>66</v>
      </c>
      <c r="B6" s="12"/>
      <c r="C6" s="12"/>
      <c r="D6" s="12"/>
      <c r="E6" s="12"/>
      <c r="F6" s="12"/>
      <c r="G6" s="12"/>
      <c r="H6" s="12"/>
      <c r="I6" s="12"/>
      <c r="J6" s="12"/>
      <c r="K6" s="12"/>
      <c r="L6" s="12"/>
      <c r="M6" s="12"/>
    </row>
    <row r="7" customFormat="false" ht="60" hidden="false" customHeight="true" outlineLevel="0" collapsed="false">
      <c r="A7" s="13" t="s">
        <v>67</v>
      </c>
      <c r="B7" s="13" t="s">
        <v>68</v>
      </c>
      <c r="C7" s="14" t="s">
        <v>69</v>
      </c>
      <c r="D7" s="15" t="s">
        <v>70</v>
      </c>
      <c r="E7" s="14" t="s">
        <v>71</v>
      </c>
      <c r="F7" s="14" t="s">
        <v>72</v>
      </c>
      <c r="G7" s="14" t="s">
        <v>73</v>
      </c>
      <c r="H7" s="14" t="s">
        <v>59</v>
      </c>
      <c r="I7" s="16" t="s">
        <v>60</v>
      </c>
      <c r="J7" s="13"/>
      <c r="K7" s="14"/>
      <c r="L7" s="14"/>
      <c r="M7" s="14"/>
    </row>
    <row r="8" customFormat="false" ht="60" hidden="false" customHeight="true" outlineLevel="0" collapsed="false">
      <c r="A8" s="17" t="s">
        <v>74</v>
      </c>
      <c r="B8" s="17" t="s">
        <v>68</v>
      </c>
      <c r="C8" s="18" t="s">
        <v>75</v>
      </c>
      <c r="D8" s="19" t="s">
        <v>76</v>
      </c>
      <c r="E8" s="18" t="s">
        <v>77</v>
      </c>
      <c r="F8" s="18" t="s">
        <v>78</v>
      </c>
      <c r="G8" s="18" t="s">
        <v>79</v>
      </c>
      <c r="H8" s="18" t="s">
        <v>59</v>
      </c>
      <c r="I8" s="16" t="s">
        <v>60</v>
      </c>
      <c r="J8" s="17"/>
      <c r="K8" s="18"/>
      <c r="L8" s="18"/>
      <c r="M8" s="18"/>
    </row>
    <row r="9" customFormat="false" ht="60" hidden="false" customHeight="true" outlineLevel="0" collapsed="false">
      <c r="A9" s="20" t="s">
        <v>80</v>
      </c>
      <c r="B9" s="20" t="s">
        <v>68</v>
      </c>
      <c r="C9" s="21" t="s">
        <v>81</v>
      </c>
      <c r="D9" s="22" t="s">
        <v>76</v>
      </c>
      <c r="E9" s="21" t="s">
        <v>82</v>
      </c>
      <c r="F9" s="21" t="s">
        <v>83</v>
      </c>
      <c r="G9" s="21" t="s">
        <v>84</v>
      </c>
      <c r="H9" s="21" t="s">
        <v>85</v>
      </c>
      <c r="I9" s="16" t="s">
        <v>60</v>
      </c>
      <c r="J9" s="20"/>
      <c r="K9" s="21"/>
      <c r="L9" s="21"/>
      <c r="M9" s="21"/>
    </row>
    <row r="10" customFormat="false" ht="60" hidden="false" customHeight="true" outlineLevel="0" collapsed="false">
      <c r="A10" s="20" t="s">
        <v>86</v>
      </c>
      <c r="B10" s="20" t="s">
        <v>68</v>
      </c>
      <c r="C10" s="21" t="s">
        <v>87</v>
      </c>
      <c r="D10" s="22" t="s">
        <v>76</v>
      </c>
      <c r="E10" s="21" t="s">
        <v>88</v>
      </c>
      <c r="F10" s="21" t="s">
        <v>89</v>
      </c>
      <c r="G10" s="21" t="s">
        <v>90</v>
      </c>
      <c r="H10" s="21" t="s">
        <v>85</v>
      </c>
      <c r="I10" s="16" t="s">
        <v>60</v>
      </c>
      <c r="J10" s="20"/>
      <c r="K10" s="21"/>
      <c r="L10" s="21"/>
      <c r="M10" s="21"/>
    </row>
    <row r="11" customFormat="false" ht="60" hidden="false" customHeight="true" outlineLevel="0" collapsed="false">
      <c r="A11" s="20" t="s">
        <v>91</v>
      </c>
      <c r="B11" s="20" t="s">
        <v>68</v>
      </c>
      <c r="C11" s="21" t="s">
        <v>92</v>
      </c>
      <c r="D11" s="22" t="s">
        <v>76</v>
      </c>
      <c r="E11" s="21" t="s">
        <v>93</v>
      </c>
      <c r="F11" s="21" t="s">
        <v>94</v>
      </c>
      <c r="G11" s="21" t="s">
        <v>95</v>
      </c>
      <c r="H11" s="21" t="s">
        <v>85</v>
      </c>
      <c r="I11" s="16" t="s">
        <v>60</v>
      </c>
      <c r="J11" s="20"/>
      <c r="K11" s="21"/>
      <c r="L11" s="21"/>
      <c r="M11" s="21"/>
    </row>
    <row r="12" customFormat="false" ht="60" hidden="false" customHeight="true" outlineLevel="0" collapsed="false">
      <c r="A12" s="20" t="s">
        <v>96</v>
      </c>
      <c r="B12" s="20" t="s">
        <v>68</v>
      </c>
      <c r="C12" s="21" t="s">
        <v>97</v>
      </c>
      <c r="D12" s="22" t="s">
        <v>76</v>
      </c>
      <c r="E12" s="21" t="s">
        <v>98</v>
      </c>
      <c r="F12" s="21" t="s">
        <v>99</v>
      </c>
      <c r="G12" s="21" t="s">
        <v>100</v>
      </c>
      <c r="H12" s="21" t="s">
        <v>85</v>
      </c>
      <c r="I12" s="23" t="s">
        <v>101</v>
      </c>
      <c r="J12" s="20"/>
      <c r="K12" s="21"/>
      <c r="L12" s="21"/>
      <c r="M12" s="21"/>
    </row>
    <row r="13" customFormat="false" ht="60" hidden="false" customHeight="true" outlineLevel="0" collapsed="false">
      <c r="A13" s="20" t="s">
        <v>102</v>
      </c>
      <c r="B13" s="20" t="s">
        <v>68</v>
      </c>
      <c r="C13" s="21" t="s">
        <v>103</v>
      </c>
      <c r="D13" s="22" t="s">
        <v>76</v>
      </c>
      <c r="E13" s="21" t="s">
        <v>104</v>
      </c>
      <c r="F13" s="21" t="s">
        <v>105</v>
      </c>
      <c r="G13" s="21" t="s">
        <v>106</v>
      </c>
      <c r="H13" s="21" t="s">
        <v>85</v>
      </c>
      <c r="I13" s="16" t="s">
        <v>60</v>
      </c>
      <c r="J13" s="20"/>
      <c r="K13" s="21"/>
      <c r="L13" s="21"/>
      <c r="M13" s="21"/>
    </row>
    <row r="14" customFormat="false" ht="60" hidden="false" customHeight="true" outlineLevel="0" collapsed="false">
      <c r="A14" s="17" t="s">
        <v>107</v>
      </c>
      <c r="B14" s="17" t="s">
        <v>68</v>
      </c>
      <c r="C14" s="18" t="s">
        <v>108</v>
      </c>
      <c r="D14" s="19" t="s">
        <v>76</v>
      </c>
      <c r="E14" s="18" t="s">
        <v>109</v>
      </c>
      <c r="F14" s="18" t="s">
        <v>110</v>
      </c>
      <c r="G14" s="18" t="s">
        <v>111</v>
      </c>
      <c r="H14" s="18" t="s">
        <v>59</v>
      </c>
      <c r="I14" s="16" t="s">
        <v>60</v>
      </c>
      <c r="J14" s="17"/>
      <c r="K14" s="18"/>
      <c r="L14" s="18"/>
      <c r="M14" s="18"/>
    </row>
    <row r="15" customFormat="false" ht="19.5" hidden="false" customHeight="true" outlineLevel="0" collapsed="false">
      <c r="A15" s="12" t="s">
        <v>112</v>
      </c>
      <c r="B15" s="12"/>
      <c r="C15" s="12"/>
      <c r="D15" s="12"/>
      <c r="E15" s="12"/>
      <c r="F15" s="12"/>
      <c r="G15" s="12"/>
      <c r="H15" s="12"/>
      <c r="I15" s="12"/>
      <c r="J15" s="12"/>
      <c r="K15" s="12"/>
      <c r="L15" s="12"/>
      <c r="M15" s="12"/>
    </row>
    <row r="16" customFormat="false" ht="60" hidden="false" customHeight="true" outlineLevel="0" collapsed="false">
      <c r="A16" s="13" t="s">
        <v>113</v>
      </c>
      <c r="B16" s="13" t="s">
        <v>114</v>
      </c>
      <c r="C16" s="14" t="s">
        <v>115</v>
      </c>
      <c r="D16" s="15" t="s">
        <v>116</v>
      </c>
      <c r="E16" s="14" t="s">
        <v>117</v>
      </c>
      <c r="F16" s="14" t="s">
        <v>118</v>
      </c>
      <c r="G16" s="14" t="s">
        <v>119</v>
      </c>
      <c r="H16" s="14" t="s">
        <v>59</v>
      </c>
      <c r="I16" s="16" t="s">
        <v>60</v>
      </c>
      <c r="J16" s="13"/>
      <c r="K16" s="14"/>
      <c r="L16" s="14"/>
      <c r="M16" s="14"/>
    </row>
    <row r="17" customFormat="false" ht="60" hidden="false" customHeight="true" outlineLevel="0" collapsed="false">
      <c r="A17" s="17" t="s">
        <v>120</v>
      </c>
      <c r="B17" s="17" t="s">
        <v>114</v>
      </c>
      <c r="C17" s="18" t="s">
        <v>121</v>
      </c>
      <c r="D17" s="19" t="s">
        <v>116</v>
      </c>
      <c r="E17" s="18" t="s">
        <v>122</v>
      </c>
      <c r="F17" s="18" t="s">
        <v>123</v>
      </c>
      <c r="G17" s="18" t="s">
        <v>124</v>
      </c>
      <c r="H17" s="18" t="s">
        <v>59</v>
      </c>
      <c r="I17" s="16" t="s">
        <v>60</v>
      </c>
      <c r="J17" s="17"/>
      <c r="K17" s="18"/>
      <c r="L17" s="18"/>
      <c r="M17" s="18"/>
    </row>
    <row r="18" customFormat="false" ht="60" hidden="false" customHeight="true" outlineLevel="0" collapsed="false">
      <c r="A18" s="20" t="s">
        <v>125</v>
      </c>
      <c r="B18" s="20" t="s">
        <v>114</v>
      </c>
      <c r="C18" s="21" t="s">
        <v>126</v>
      </c>
      <c r="D18" s="22" t="s">
        <v>116</v>
      </c>
      <c r="E18" s="21" t="s">
        <v>127</v>
      </c>
      <c r="F18" s="21" t="s">
        <v>128</v>
      </c>
      <c r="G18" s="21" t="s">
        <v>129</v>
      </c>
      <c r="H18" s="21" t="s">
        <v>85</v>
      </c>
      <c r="I18" s="16" t="s">
        <v>60</v>
      </c>
      <c r="J18" s="20"/>
      <c r="K18" s="21"/>
      <c r="L18" s="21"/>
      <c r="M18" s="21"/>
    </row>
    <row r="19" customFormat="false" ht="19.5" hidden="false" customHeight="true" outlineLevel="0" collapsed="false">
      <c r="A19" s="12" t="s">
        <v>130</v>
      </c>
      <c r="B19" s="12"/>
      <c r="C19" s="12"/>
      <c r="D19" s="12"/>
      <c r="E19" s="12"/>
      <c r="F19" s="12"/>
      <c r="G19" s="12"/>
      <c r="H19" s="12"/>
      <c r="I19" s="12"/>
      <c r="J19" s="12"/>
      <c r="K19" s="12"/>
      <c r="L19" s="12"/>
      <c r="M19" s="12"/>
    </row>
    <row r="20" customFormat="false" ht="60" hidden="false" customHeight="true" outlineLevel="0" collapsed="false">
      <c r="A20" s="17" t="s">
        <v>131</v>
      </c>
      <c r="B20" s="17" t="s">
        <v>132</v>
      </c>
      <c r="C20" s="18" t="s">
        <v>133</v>
      </c>
      <c r="D20" s="19" t="s">
        <v>134</v>
      </c>
      <c r="E20" s="18" t="s">
        <v>135</v>
      </c>
      <c r="F20" s="18" t="s">
        <v>136</v>
      </c>
      <c r="G20" s="18" t="s">
        <v>137</v>
      </c>
      <c r="H20" s="18" t="s">
        <v>59</v>
      </c>
      <c r="I20" s="16" t="s">
        <v>60</v>
      </c>
      <c r="J20" s="17"/>
      <c r="K20" s="18"/>
      <c r="L20" s="18"/>
      <c r="M20" s="18"/>
    </row>
    <row r="21" customFormat="false" ht="60" hidden="false" customHeight="true" outlineLevel="0" collapsed="false">
      <c r="A21" s="13" t="s">
        <v>138</v>
      </c>
      <c r="B21" s="13" t="s">
        <v>132</v>
      </c>
      <c r="C21" s="14" t="s">
        <v>139</v>
      </c>
      <c r="D21" s="15" t="s">
        <v>140</v>
      </c>
      <c r="E21" s="14" t="s">
        <v>141</v>
      </c>
      <c r="F21" s="14" t="s">
        <v>142</v>
      </c>
      <c r="G21" s="14" t="s">
        <v>143</v>
      </c>
      <c r="H21" s="14" t="s">
        <v>59</v>
      </c>
      <c r="I21" s="16" t="s">
        <v>60</v>
      </c>
      <c r="J21" s="13"/>
      <c r="K21" s="14"/>
      <c r="L21" s="14"/>
      <c r="M21" s="14"/>
    </row>
    <row r="22" customFormat="false" ht="60" hidden="false" customHeight="true" outlineLevel="0" collapsed="false">
      <c r="A22" s="20" t="s">
        <v>144</v>
      </c>
      <c r="B22" s="20" t="s">
        <v>132</v>
      </c>
      <c r="C22" s="21" t="s">
        <v>145</v>
      </c>
      <c r="D22" s="22" t="s">
        <v>140</v>
      </c>
      <c r="E22" s="21" t="s">
        <v>146</v>
      </c>
      <c r="F22" s="21" t="s">
        <v>147</v>
      </c>
      <c r="G22" s="21" t="s">
        <v>148</v>
      </c>
      <c r="H22" s="21" t="s">
        <v>85</v>
      </c>
      <c r="I22" s="24" t="s">
        <v>149</v>
      </c>
      <c r="J22" s="20"/>
      <c r="K22" s="21"/>
      <c r="L22" s="21"/>
      <c r="M22" s="21"/>
    </row>
    <row r="23" customFormat="false" ht="60" hidden="false" customHeight="true" outlineLevel="0" collapsed="false">
      <c r="A23" s="20" t="s">
        <v>150</v>
      </c>
      <c r="B23" s="20" t="s">
        <v>132</v>
      </c>
      <c r="C23" s="21" t="s">
        <v>151</v>
      </c>
      <c r="D23" s="22" t="s">
        <v>140</v>
      </c>
      <c r="E23" s="21" t="s">
        <v>152</v>
      </c>
      <c r="F23" s="21" t="s">
        <v>153</v>
      </c>
      <c r="G23" s="21" t="s">
        <v>154</v>
      </c>
      <c r="H23" s="21" t="s">
        <v>85</v>
      </c>
      <c r="I23" s="24" t="s">
        <v>149</v>
      </c>
      <c r="J23" s="20"/>
      <c r="K23" s="21"/>
      <c r="L23" s="21"/>
      <c r="M23" s="21"/>
    </row>
    <row r="24" customFormat="false" ht="60" hidden="false" customHeight="true" outlineLevel="0" collapsed="false">
      <c r="A24" s="17" t="s">
        <v>155</v>
      </c>
      <c r="B24" s="17" t="s">
        <v>132</v>
      </c>
      <c r="C24" s="18" t="s">
        <v>156</v>
      </c>
      <c r="D24" s="19" t="s">
        <v>157</v>
      </c>
      <c r="E24" s="18" t="s">
        <v>158</v>
      </c>
      <c r="F24" s="18" t="s">
        <v>159</v>
      </c>
      <c r="G24" s="18" t="s">
        <v>160</v>
      </c>
      <c r="H24" s="18" t="s">
        <v>59</v>
      </c>
      <c r="I24" s="23" t="s">
        <v>101</v>
      </c>
      <c r="J24" s="17"/>
      <c r="K24" s="18"/>
      <c r="L24" s="18"/>
      <c r="M24" s="18"/>
    </row>
    <row r="25" customFormat="false" ht="19.5" hidden="false" customHeight="true" outlineLevel="0" collapsed="false">
      <c r="A25" s="12" t="s">
        <v>161</v>
      </c>
      <c r="B25" s="12"/>
      <c r="C25" s="12"/>
      <c r="D25" s="12"/>
      <c r="E25" s="12"/>
      <c r="F25" s="12"/>
      <c r="G25" s="12"/>
      <c r="H25" s="12"/>
      <c r="I25" s="12"/>
      <c r="J25" s="12"/>
      <c r="K25" s="12"/>
      <c r="L25" s="12"/>
      <c r="M25" s="12"/>
    </row>
    <row r="26" customFormat="false" ht="60" hidden="false" customHeight="true" outlineLevel="0" collapsed="false">
      <c r="A26" s="13" t="s">
        <v>162</v>
      </c>
      <c r="B26" s="13" t="s">
        <v>163</v>
      </c>
      <c r="C26" s="14" t="s">
        <v>164</v>
      </c>
      <c r="D26" s="15" t="s">
        <v>165</v>
      </c>
      <c r="E26" s="14" t="s">
        <v>166</v>
      </c>
      <c r="F26" s="14" t="s">
        <v>167</v>
      </c>
      <c r="G26" s="14" t="s">
        <v>168</v>
      </c>
      <c r="H26" s="14" t="s">
        <v>59</v>
      </c>
      <c r="I26" s="16" t="s">
        <v>60</v>
      </c>
      <c r="J26" s="13"/>
      <c r="K26" s="14"/>
      <c r="L26" s="14"/>
      <c r="M26" s="14"/>
    </row>
    <row r="27" customFormat="false" ht="60" hidden="false" customHeight="true" outlineLevel="0" collapsed="false">
      <c r="A27" s="20" t="s">
        <v>169</v>
      </c>
      <c r="B27" s="20" t="s">
        <v>163</v>
      </c>
      <c r="C27" s="21" t="s">
        <v>170</v>
      </c>
      <c r="D27" s="22" t="s">
        <v>165</v>
      </c>
      <c r="E27" s="21" t="s">
        <v>171</v>
      </c>
      <c r="F27" s="21" t="s">
        <v>172</v>
      </c>
      <c r="G27" s="21" t="s">
        <v>173</v>
      </c>
      <c r="H27" s="21" t="s">
        <v>85</v>
      </c>
      <c r="I27" s="16" t="s">
        <v>60</v>
      </c>
      <c r="J27" s="20"/>
      <c r="K27" s="21"/>
      <c r="L27" s="21"/>
      <c r="M27" s="21"/>
    </row>
    <row r="28" customFormat="false" ht="19.5" hidden="false" customHeight="true" outlineLevel="0" collapsed="false">
      <c r="A28" s="12" t="s">
        <v>174</v>
      </c>
      <c r="B28" s="12"/>
      <c r="C28" s="12"/>
      <c r="D28" s="12"/>
      <c r="E28" s="12"/>
      <c r="F28" s="12"/>
      <c r="G28" s="12"/>
      <c r="H28" s="12"/>
      <c r="I28" s="12"/>
      <c r="J28" s="12"/>
      <c r="K28" s="12"/>
      <c r="L28" s="12"/>
      <c r="M28" s="12"/>
    </row>
    <row r="29" customFormat="false" ht="60" hidden="false" customHeight="true" outlineLevel="0" collapsed="false">
      <c r="A29" s="20" t="s">
        <v>175</v>
      </c>
      <c r="B29" s="20" t="s">
        <v>176</v>
      </c>
      <c r="C29" s="21" t="s">
        <v>177</v>
      </c>
      <c r="D29" s="22" t="s">
        <v>157</v>
      </c>
      <c r="E29" s="21" t="s">
        <v>178</v>
      </c>
      <c r="F29" s="21" t="s">
        <v>179</v>
      </c>
      <c r="G29" s="21" t="s">
        <v>180</v>
      </c>
      <c r="H29" s="21" t="s">
        <v>85</v>
      </c>
      <c r="I29" s="23" t="s">
        <v>101</v>
      </c>
      <c r="J29" s="20"/>
      <c r="K29" s="21"/>
      <c r="L29" s="21"/>
      <c r="M29" s="21"/>
    </row>
    <row r="30" customFormat="false" ht="60" hidden="false" customHeight="true" outlineLevel="0" collapsed="false">
      <c r="A30" s="17" t="s">
        <v>181</v>
      </c>
      <c r="B30" s="17" t="s">
        <v>176</v>
      </c>
      <c r="C30" s="18" t="s">
        <v>182</v>
      </c>
      <c r="D30" s="19" t="s">
        <v>183</v>
      </c>
      <c r="E30" s="18" t="s">
        <v>184</v>
      </c>
      <c r="F30" s="18" t="s">
        <v>185</v>
      </c>
      <c r="G30" s="18" t="s">
        <v>186</v>
      </c>
      <c r="H30" s="18" t="s">
        <v>59</v>
      </c>
      <c r="I30" s="23" t="s">
        <v>101</v>
      </c>
      <c r="J30" s="17"/>
      <c r="K30" s="18"/>
      <c r="L30" s="18"/>
      <c r="M30" s="18"/>
    </row>
    <row r="31" customFormat="false" ht="60" hidden="false" customHeight="true" outlineLevel="0" collapsed="false">
      <c r="A31" s="20" t="s">
        <v>187</v>
      </c>
      <c r="B31" s="20" t="s">
        <v>176</v>
      </c>
      <c r="C31" s="21" t="s">
        <v>188</v>
      </c>
      <c r="D31" s="22" t="s">
        <v>76</v>
      </c>
      <c r="E31" s="21" t="s">
        <v>189</v>
      </c>
      <c r="F31" s="21" t="s">
        <v>190</v>
      </c>
      <c r="G31" s="21" t="s">
        <v>191</v>
      </c>
      <c r="H31" s="21" t="s">
        <v>85</v>
      </c>
      <c r="I31" s="24" t="s">
        <v>149</v>
      </c>
      <c r="J31" s="20"/>
      <c r="K31" s="21"/>
      <c r="L31" s="21"/>
      <c r="M31" s="21"/>
    </row>
    <row r="32" customFormat="false" ht="60" hidden="false" customHeight="true" outlineLevel="0" collapsed="false">
      <c r="A32" s="17" t="s">
        <v>192</v>
      </c>
      <c r="B32" s="17" t="s">
        <v>176</v>
      </c>
      <c r="C32" s="18" t="s">
        <v>193</v>
      </c>
      <c r="D32" s="19" t="s">
        <v>5</v>
      </c>
      <c r="E32" s="18" t="s">
        <v>194</v>
      </c>
      <c r="F32" s="18" t="s">
        <v>195</v>
      </c>
      <c r="G32" s="18" t="s">
        <v>196</v>
      </c>
      <c r="H32" s="18" t="s">
        <v>59</v>
      </c>
      <c r="I32" s="23" t="s">
        <v>101</v>
      </c>
      <c r="J32" s="17"/>
      <c r="K32" s="18"/>
      <c r="L32" s="18"/>
      <c r="M32" s="18"/>
    </row>
    <row r="33" customFormat="false" ht="60" hidden="false" customHeight="true" outlineLevel="0" collapsed="false">
      <c r="A33" s="13" t="s">
        <v>197</v>
      </c>
      <c r="B33" s="13" t="s">
        <v>176</v>
      </c>
      <c r="C33" s="14" t="s">
        <v>198</v>
      </c>
      <c r="D33" s="15" t="s">
        <v>199</v>
      </c>
      <c r="E33" s="14" t="s">
        <v>200</v>
      </c>
      <c r="F33" s="14" t="s">
        <v>201</v>
      </c>
      <c r="G33" s="14" t="s">
        <v>202</v>
      </c>
      <c r="H33" s="14" t="s">
        <v>59</v>
      </c>
      <c r="I33" s="25" t="s">
        <v>203</v>
      </c>
      <c r="J33" s="13"/>
      <c r="K33" s="14"/>
      <c r="L33" s="14"/>
      <c r="M33" s="14"/>
    </row>
  </sheetData>
  <mergeCells count="7">
    <mergeCell ref="A1:M1"/>
    <mergeCell ref="A3:M3"/>
    <mergeCell ref="A6:M6"/>
    <mergeCell ref="A15:M15"/>
    <mergeCell ref="A19:M19"/>
    <mergeCell ref="A25:M25"/>
    <mergeCell ref="A28:M28"/>
  </mergeCells>
  <conditionalFormatting sqref="J3:J34">
    <cfRule type="expression" priority="2" aboveAverage="0" equalAverage="0" bottom="0" percent="0" rank="0" text="" dxfId="0">
      <formula>J3="✅ PASS"</formula>
    </cfRule>
    <cfRule type="expression" priority="3" aboveAverage="0" equalAverage="0" bottom="0" percent="0" rank="0" text="" dxfId="1">
      <formula>J3="❌ FAIL"</formula>
    </cfRule>
    <cfRule type="expression" priority="4" aboveAverage="0" equalAverage="0" bottom="0" percent="0" rank="0" text="" dxfId="2">
      <formula>J3="⚠️ BLOCKED"</formula>
    </cfRule>
  </conditionalFormatting>
  <dataValidations count="2">
    <dataValidation allowBlank="true" errorStyle="stop" operator="between" showDropDown="false" showErrorMessage="false" showInputMessage="false" sqref="J4:J5 J7:J14 J16:J18 J20:J24 J26:J27 J29:J33" type="list">
      <formula1>"✅ PASS,❌ FAIL,⚠️ BLOCKED,⏭️ SKIP"</formula1>
      <formula2>0</formula2>
    </dataValidation>
    <dataValidation allowBlank="true" errorStyle="stop" operator="between" showDropDown="false" showErrorMessage="false" showInputMessage="false" sqref="I4:I5 I7:I14 I16:I18 I20:I24 I26:I27 I29:I33"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6"/>
    <col collapsed="false" customWidth="true" hidden="false" outlineLevel="0" max="5" min="4" style="0" width="32"/>
    <col collapsed="false" customWidth="true" hidden="false" outlineLevel="0" max="6" min="6" style="0" width="48"/>
    <col collapsed="false" customWidth="true" hidden="false" outlineLevel="0" max="7" min="7" style="0" width="38"/>
    <col collapsed="false" customWidth="true" hidden="false" outlineLevel="0" max="9" min="8" style="0" width="10"/>
    <col collapsed="false" customWidth="true" hidden="false" outlineLevel="0" max="10" min="10" style="0" width="14"/>
    <col collapsed="false" customWidth="true" hidden="false" outlineLevel="0" max="11" min="11" style="0" width="32"/>
    <col collapsed="false" customWidth="true" hidden="false" outlineLevel="0" max="12" min="12" style="0" width="14"/>
    <col collapsed="false" customWidth="true" hidden="false" outlineLevel="0" max="13" min="13" style="0" width="12"/>
  </cols>
  <sheetData>
    <row r="1" customFormat="false" ht="27.75" hidden="false" customHeight="true" outlineLevel="0" collapsed="false">
      <c r="A1" s="10" t="s">
        <v>204</v>
      </c>
      <c r="B1" s="10"/>
      <c r="C1" s="10"/>
      <c r="D1" s="10"/>
      <c r="E1" s="10"/>
      <c r="F1" s="10"/>
      <c r="G1" s="10"/>
      <c r="H1" s="10"/>
      <c r="I1" s="10"/>
      <c r="J1" s="10"/>
      <c r="K1" s="10"/>
      <c r="L1" s="10"/>
      <c r="M1" s="10"/>
    </row>
    <row r="2" customFormat="false" ht="21.75" hidden="false" customHeight="true" outlineLevel="0" collapsed="false">
      <c r="A2" s="11" t="s">
        <v>39</v>
      </c>
      <c r="B2" s="11" t="s">
        <v>40</v>
      </c>
      <c r="C2" s="11" t="s">
        <v>41</v>
      </c>
      <c r="D2" s="11" t="s">
        <v>42</v>
      </c>
      <c r="E2" s="11" t="s">
        <v>43</v>
      </c>
      <c r="F2" s="11" t="s">
        <v>44</v>
      </c>
      <c r="G2" s="11" t="s">
        <v>45</v>
      </c>
      <c r="H2" s="11" t="s">
        <v>46</v>
      </c>
      <c r="I2" s="11" t="s">
        <v>47</v>
      </c>
      <c r="J2" s="11" t="s">
        <v>48</v>
      </c>
      <c r="K2" s="11" t="s">
        <v>49</v>
      </c>
      <c r="L2" s="11" t="s">
        <v>50</v>
      </c>
      <c r="M2" s="11" t="s">
        <v>51</v>
      </c>
    </row>
    <row r="3" customFormat="false" ht="19.5" hidden="false" customHeight="true" outlineLevel="0" collapsed="false">
      <c r="A3" s="12" t="s">
        <v>205</v>
      </c>
      <c r="B3" s="12"/>
      <c r="C3" s="12"/>
      <c r="D3" s="12"/>
      <c r="E3" s="12"/>
      <c r="F3" s="12"/>
      <c r="G3" s="12"/>
      <c r="H3" s="12"/>
      <c r="I3" s="12"/>
      <c r="J3" s="12"/>
      <c r="K3" s="12"/>
      <c r="L3" s="12"/>
      <c r="M3" s="12"/>
    </row>
    <row r="4" customFormat="false" ht="60" hidden="false" customHeight="true" outlineLevel="0" collapsed="false">
      <c r="A4" s="13" t="s">
        <v>206</v>
      </c>
      <c r="B4" s="13" t="s">
        <v>207</v>
      </c>
      <c r="C4" s="14" t="s">
        <v>208</v>
      </c>
      <c r="D4" s="15" t="s">
        <v>209</v>
      </c>
      <c r="E4" s="14" t="s">
        <v>210</v>
      </c>
      <c r="F4" s="14" t="s">
        <v>211</v>
      </c>
      <c r="G4" s="14" t="s">
        <v>212</v>
      </c>
      <c r="H4" s="14" t="s">
        <v>59</v>
      </c>
      <c r="I4" s="16" t="s">
        <v>60</v>
      </c>
      <c r="J4" s="13"/>
      <c r="K4" s="14"/>
      <c r="L4" s="14"/>
      <c r="M4" s="14"/>
    </row>
    <row r="5" customFormat="false" ht="60" hidden="false" customHeight="true" outlineLevel="0" collapsed="false">
      <c r="A5" s="17" t="s">
        <v>213</v>
      </c>
      <c r="B5" s="17" t="s">
        <v>207</v>
      </c>
      <c r="C5" s="18" t="s">
        <v>214</v>
      </c>
      <c r="D5" s="19" t="s">
        <v>209</v>
      </c>
      <c r="E5" s="18" t="s">
        <v>215</v>
      </c>
      <c r="F5" s="18" t="s">
        <v>216</v>
      </c>
      <c r="G5" s="18" t="s">
        <v>217</v>
      </c>
      <c r="H5" s="18" t="s">
        <v>59</v>
      </c>
      <c r="I5" s="16" t="s">
        <v>60</v>
      </c>
      <c r="J5" s="17"/>
      <c r="K5" s="18"/>
      <c r="L5" s="18"/>
      <c r="M5" s="18"/>
    </row>
    <row r="6" customFormat="false" ht="60" hidden="false" customHeight="true" outlineLevel="0" collapsed="false">
      <c r="A6" s="20" t="s">
        <v>218</v>
      </c>
      <c r="B6" s="20" t="s">
        <v>207</v>
      </c>
      <c r="C6" s="21" t="s">
        <v>219</v>
      </c>
      <c r="D6" s="22" t="s">
        <v>209</v>
      </c>
      <c r="E6" s="21" t="s">
        <v>220</v>
      </c>
      <c r="F6" s="21" t="s">
        <v>221</v>
      </c>
      <c r="G6" s="21" t="s">
        <v>222</v>
      </c>
      <c r="H6" s="21" t="s">
        <v>85</v>
      </c>
      <c r="I6" s="23" t="s">
        <v>101</v>
      </c>
      <c r="J6" s="20"/>
      <c r="K6" s="21"/>
      <c r="L6" s="21"/>
      <c r="M6" s="21"/>
    </row>
    <row r="7" customFormat="false" ht="19.5" hidden="false" customHeight="true" outlineLevel="0" collapsed="false">
      <c r="A7" s="12" t="s">
        <v>223</v>
      </c>
      <c r="B7" s="12"/>
      <c r="C7" s="12"/>
      <c r="D7" s="12"/>
      <c r="E7" s="12"/>
      <c r="F7" s="12"/>
      <c r="G7" s="12"/>
      <c r="H7" s="12"/>
      <c r="I7" s="12"/>
      <c r="J7" s="12"/>
      <c r="K7" s="12"/>
      <c r="L7" s="12"/>
      <c r="M7" s="12"/>
    </row>
    <row r="8" customFormat="false" ht="60" hidden="false" customHeight="true" outlineLevel="0" collapsed="false">
      <c r="A8" s="17" t="s">
        <v>224</v>
      </c>
      <c r="B8" s="17" t="s">
        <v>225</v>
      </c>
      <c r="C8" s="18" t="s">
        <v>226</v>
      </c>
      <c r="D8" s="19" t="s">
        <v>227</v>
      </c>
      <c r="E8" s="18" t="s">
        <v>228</v>
      </c>
      <c r="F8" s="18" t="s">
        <v>229</v>
      </c>
      <c r="G8" s="18" t="s">
        <v>230</v>
      </c>
      <c r="H8" s="18" t="s">
        <v>59</v>
      </c>
      <c r="I8" s="16" t="s">
        <v>60</v>
      </c>
      <c r="J8" s="17"/>
      <c r="K8" s="18"/>
      <c r="L8" s="18"/>
      <c r="M8" s="18"/>
    </row>
    <row r="9" customFormat="false" ht="60" hidden="false" customHeight="true" outlineLevel="0" collapsed="false">
      <c r="A9" s="13" t="s">
        <v>231</v>
      </c>
      <c r="B9" s="13" t="s">
        <v>225</v>
      </c>
      <c r="C9" s="14" t="s">
        <v>232</v>
      </c>
      <c r="D9" s="15" t="s">
        <v>233</v>
      </c>
      <c r="E9" s="14" t="s">
        <v>234</v>
      </c>
      <c r="F9" s="14" t="s">
        <v>235</v>
      </c>
      <c r="G9" s="14" t="s">
        <v>236</v>
      </c>
      <c r="H9" s="14" t="s">
        <v>59</v>
      </c>
      <c r="I9" s="24" t="s">
        <v>149</v>
      </c>
      <c r="J9" s="13"/>
      <c r="K9" s="14"/>
      <c r="L9" s="14"/>
      <c r="M9" s="14"/>
    </row>
    <row r="10" customFormat="false" ht="60" hidden="false" customHeight="true" outlineLevel="0" collapsed="false">
      <c r="A10" s="20" t="s">
        <v>237</v>
      </c>
      <c r="B10" s="20" t="s">
        <v>225</v>
      </c>
      <c r="C10" s="21" t="s">
        <v>238</v>
      </c>
      <c r="D10" s="22" t="s">
        <v>233</v>
      </c>
      <c r="E10" s="21" t="s">
        <v>239</v>
      </c>
      <c r="F10" s="21" t="s">
        <v>240</v>
      </c>
      <c r="G10" s="21" t="s">
        <v>241</v>
      </c>
      <c r="H10" s="21" t="s">
        <v>85</v>
      </c>
      <c r="I10" s="16" t="s">
        <v>60</v>
      </c>
      <c r="J10" s="20"/>
      <c r="K10" s="21"/>
      <c r="L10" s="21"/>
      <c r="M10" s="21"/>
    </row>
    <row r="11" customFormat="false" ht="60" hidden="false" customHeight="true" outlineLevel="0" collapsed="false">
      <c r="A11" s="20" t="s">
        <v>242</v>
      </c>
      <c r="B11" s="20" t="s">
        <v>225</v>
      </c>
      <c r="C11" s="21" t="s">
        <v>243</v>
      </c>
      <c r="D11" s="22" t="s">
        <v>233</v>
      </c>
      <c r="E11" s="21" t="s">
        <v>244</v>
      </c>
      <c r="F11" s="21" t="s">
        <v>245</v>
      </c>
      <c r="G11" s="21" t="s">
        <v>246</v>
      </c>
      <c r="H11" s="21" t="s">
        <v>85</v>
      </c>
      <c r="I11" s="23" t="s">
        <v>101</v>
      </c>
      <c r="J11" s="20"/>
      <c r="K11" s="21"/>
      <c r="L11" s="21"/>
      <c r="M11" s="21"/>
    </row>
    <row r="12" customFormat="false" ht="60" hidden="false" customHeight="true" outlineLevel="0" collapsed="false">
      <c r="A12" s="20" t="s">
        <v>247</v>
      </c>
      <c r="B12" s="20" t="s">
        <v>225</v>
      </c>
      <c r="C12" s="21" t="s">
        <v>248</v>
      </c>
      <c r="D12" s="22" t="s">
        <v>233</v>
      </c>
      <c r="E12" s="21" t="s">
        <v>249</v>
      </c>
      <c r="F12" s="21" t="s">
        <v>250</v>
      </c>
      <c r="G12" s="21" t="s">
        <v>251</v>
      </c>
      <c r="H12" s="21" t="s">
        <v>85</v>
      </c>
      <c r="I12" s="23" t="s">
        <v>101</v>
      </c>
      <c r="J12" s="20"/>
      <c r="K12" s="21"/>
      <c r="L12" s="21"/>
      <c r="M12" s="21"/>
    </row>
    <row r="13" customFormat="false" ht="60" hidden="false" customHeight="true" outlineLevel="0" collapsed="false">
      <c r="A13" s="20" t="s">
        <v>252</v>
      </c>
      <c r="B13" s="20" t="s">
        <v>225</v>
      </c>
      <c r="C13" s="21" t="s">
        <v>253</v>
      </c>
      <c r="D13" s="22" t="s">
        <v>233</v>
      </c>
      <c r="E13" s="21" t="s">
        <v>254</v>
      </c>
      <c r="F13" s="21" t="s">
        <v>255</v>
      </c>
      <c r="G13" s="21" t="s">
        <v>256</v>
      </c>
      <c r="H13" s="21" t="s">
        <v>85</v>
      </c>
      <c r="I13" s="23" t="s">
        <v>101</v>
      </c>
      <c r="J13" s="20"/>
      <c r="K13" s="21"/>
      <c r="L13" s="21"/>
      <c r="M13" s="21"/>
    </row>
    <row r="14" customFormat="false" ht="60" hidden="false" customHeight="true" outlineLevel="0" collapsed="false">
      <c r="A14" s="20" t="s">
        <v>257</v>
      </c>
      <c r="B14" s="20" t="s">
        <v>225</v>
      </c>
      <c r="C14" s="21" t="s">
        <v>258</v>
      </c>
      <c r="D14" s="22" t="s">
        <v>227</v>
      </c>
      <c r="E14" s="21" t="s">
        <v>259</v>
      </c>
      <c r="F14" s="21" t="s">
        <v>260</v>
      </c>
      <c r="G14" s="21" t="s">
        <v>261</v>
      </c>
      <c r="H14" s="21" t="s">
        <v>85</v>
      </c>
      <c r="I14" s="24" t="s">
        <v>149</v>
      </c>
      <c r="J14" s="20"/>
      <c r="K14" s="21"/>
      <c r="L14" s="21"/>
      <c r="M14" s="21"/>
    </row>
    <row r="15" customFormat="false" ht="19.5" hidden="false" customHeight="true" outlineLevel="0" collapsed="false">
      <c r="A15" s="12" t="s">
        <v>262</v>
      </c>
      <c r="B15" s="12"/>
      <c r="C15" s="12"/>
      <c r="D15" s="12"/>
      <c r="E15" s="12"/>
      <c r="F15" s="12"/>
      <c r="G15" s="12"/>
      <c r="H15" s="12"/>
      <c r="I15" s="12"/>
      <c r="J15" s="12"/>
      <c r="K15" s="12"/>
      <c r="L15" s="12"/>
      <c r="M15" s="12"/>
    </row>
    <row r="16" customFormat="false" ht="60" hidden="false" customHeight="true" outlineLevel="0" collapsed="false">
      <c r="A16" s="13" t="s">
        <v>263</v>
      </c>
      <c r="B16" s="13" t="s">
        <v>264</v>
      </c>
      <c r="C16" s="14" t="s">
        <v>265</v>
      </c>
      <c r="D16" s="15" t="s">
        <v>183</v>
      </c>
      <c r="E16" s="14" t="s">
        <v>266</v>
      </c>
      <c r="F16" s="14" t="s">
        <v>267</v>
      </c>
      <c r="G16" s="14" t="s">
        <v>268</v>
      </c>
      <c r="H16" s="14" t="s">
        <v>59</v>
      </c>
      <c r="I16" s="24" t="s">
        <v>149</v>
      </c>
      <c r="J16" s="13"/>
      <c r="K16" s="14"/>
      <c r="L16" s="14"/>
      <c r="M16" s="14"/>
    </row>
    <row r="17" customFormat="false" ht="60" hidden="false" customHeight="true" outlineLevel="0" collapsed="false">
      <c r="A17" s="17" t="s">
        <v>269</v>
      </c>
      <c r="B17" s="17" t="s">
        <v>264</v>
      </c>
      <c r="C17" s="18" t="s">
        <v>270</v>
      </c>
      <c r="D17" s="19" t="s">
        <v>183</v>
      </c>
      <c r="E17" s="18" t="s">
        <v>271</v>
      </c>
      <c r="F17" s="18" t="s">
        <v>272</v>
      </c>
      <c r="G17" s="18" t="s">
        <v>273</v>
      </c>
      <c r="H17" s="18" t="s">
        <v>59</v>
      </c>
      <c r="I17" s="16" t="s">
        <v>60</v>
      </c>
      <c r="J17" s="17"/>
      <c r="K17" s="18"/>
      <c r="L17" s="18"/>
      <c r="M17" s="18"/>
    </row>
    <row r="18" customFormat="false" ht="60" hidden="false" customHeight="true" outlineLevel="0" collapsed="false">
      <c r="A18" s="20" t="s">
        <v>274</v>
      </c>
      <c r="B18" s="20" t="s">
        <v>264</v>
      </c>
      <c r="C18" s="21" t="s">
        <v>275</v>
      </c>
      <c r="D18" s="22" t="s">
        <v>276</v>
      </c>
      <c r="E18" s="21" t="s">
        <v>277</v>
      </c>
      <c r="F18" s="21" t="s">
        <v>278</v>
      </c>
      <c r="G18" s="21" t="s">
        <v>279</v>
      </c>
      <c r="H18" s="21" t="s">
        <v>85</v>
      </c>
      <c r="I18" s="16" t="s">
        <v>60</v>
      </c>
      <c r="J18" s="20"/>
      <c r="K18" s="21"/>
      <c r="L18" s="21"/>
      <c r="M18" s="21"/>
    </row>
    <row r="19" customFormat="false" ht="60" hidden="false" customHeight="true" outlineLevel="0" collapsed="false">
      <c r="A19" s="20" t="s">
        <v>280</v>
      </c>
      <c r="B19" s="20" t="s">
        <v>264</v>
      </c>
      <c r="C19" s="21" t="s">
        <v>281</v>
      </c>
      <c r="D19" s="22" t="s">
        <v>276</v>
      </c>
      <c r="E19" s="21" t="s">
        <v>282</v>
      </c>
      <c r="F19" s="21" t="s">
        <v>283</v>
      </c>
      <c r="G19" s="21" t="s">
        <v>284</v>
      </c>
      <c r="H19" s="21" t="s">
        <v>85</v>
      </c>
      <c r="I19" s="24" t="s">
        <v>149</v>
      </c>
      <c r="J19" s="20"/>
      <c r="K19" s="21"/>
      <c r="L19" s="21"/>
      <c r="M19" s="21"/>
    </row>
    <row r="20" customFormat="false" ht="60" hidden="false" customHeight="true" outlineLevel="0" collapsed="false">
      <c r="A20" s="13" t="s">
        <v>285</v>
      </c>
      <c r="B20" s="13" t="s">
        <v>264</v>
      </c>
      <c r="C20" s="14" t="s">
        <v>286</v>
      </c>
      <c r="D20" s="15" t="s">
        <v>287</v>
      </c>
      <c r="E20" s="14" t="s">
        <v>288</v>
      </c>
      <c r="F20" s="14" t="s">
        <v>289</v>
      </c>
      <c r="G20" s="14" t="s">
        <v>290</v>
      </c>
      <c r="H20" s="14" t="s">
        <v>59</v>
      </c>
      <c r="I20" s="16" t="s">
        <v>60</v>
      </c>
      <c r="J20" s="13"/>
      <c r="K20" s="14"/>
      <c r="L20" s="14"/>
      <c r="M20" s="14"/>
    </row>
    <row r="21" customFormat="false" ht="19.5" hidden="false" customHeight="true" outlineLevel="0" collapsed="false">
      <c r="A21" s="12" t="s">
        <v>291</v>
      </c>
      <c r="B21" s="12"/>
      <c r="C21" s="12"/>
      <c r="D21" s="12"/>
      <c r="E21" s="12"/>
      <c r="F21" s="12"/>
      <c r="G21" s="12"/>
      <c r="H21" s="12"/>
      <c r="I21" s="12"/>
      <c r="J21" s="12"/>
      <c r="K21" s="12"/>
      <c r="L21" s="12"/>
      <c r="M21" s="12"/>
    </row>
    <row r="22" customFormat="false" ht="60" hidden="false" customHeight="true" outlineLevel="0" collapsed="false">
      <c r="A22" s="17" t="s">
        <v>292</v>
      </c>
      <c r="B22" s="17" t="s">
        <v>293</v>
      </c>
      <c r="C22" s="18" t="s">
        <v>294</v>
      </c>
      <c r="D22" s="19" t="s">
        <v>165</v>
      </c>
      <c r="E22" s="18" t="s">
        <v>166</v>
      </c>
      <c r="F22" s="18" t="s">
        <v>295</v>
      </c>
      <c r="G22" s="18" t="s">
        <v>296</v>
      </c>
      <c r="H22" s="18" t="s">
        <v>59</v>
      </c>
      <c r="I22" s="24" t="s">
        <v>149</v>
      </c>
      <c r="J22" s="17"/>
      <c r="K22" s="18"/>
      <c r="L22" s="18"/>
      <c r="M22" s="18"/>
    </row>
    <row r="23" customFormat="false" ht="60" hidden="false" customHeight="true" outlineLevel="0" collapsed="false">
      <c r="A23" s="20" t="s">
        <v>297</v>
      </c>
      <c r="B23" s="20" t="s">
        <v>293</v>
      </c>
      <c r="C23" s="21" t="s">
        <v>298</v>
      </c>
      <c r="D23" s="22" t="s">
        <v>165</v>
      </c>
      <c r="E23" s="21" t="s">
        <v>299</v>
      </c>
      <c r="F23" s="21" t="s">
        <v>300</v>
      </c>
      <c r="G23" s="21" t="s">
        <v>301</v>
      </c>
      <c r="H23" s="21" t="s">
        <v>85</v>
      </c>
      <c r="I23" s="24" t="s">
        <v>149</v>
      </c>
      <c r="J23" s="20"/>
      <c r="K23" s="21"/>
      <c r="L23" s="21"/>
      <c r="M23" s="21"/>
    </row>
    <row r="24" customFormat="false" ht="60" hidden="false" customHeight="true" outlineLevel="0" collapsed="false">
      <c r="A24" s="20" t="s">
        <v>302</v>
      </c>
      <c r="B24" s="20" t="s">
        <v>293</v>
      </c>
      <c r="C24" s="21" t="s">
        <v>303</v>
      </c>
      <c r="D24" s="22" t="s">
        <v>165</v>
      </c>
      <c r="E24" s="21" t="s">
        <v>304</v>
      </c>
      <c r="F24" s="21" t="s">
        <v>305</v>
      </c>
      <c r="G24" s="21" t="s">
        <v>306</v>
      </c>
      <c r="H24" s="21" t="s">
        <v>85</v>
      </c>
      <c r="I24" s="16" t="s">
        <v>60</v>
      </c>
      <c r="J24" s="20"/>
      <c r="K24" s="21"/>
      <c r="L24" s="21"/>
      <c r="M24" s="21"/>
    </row>
    <row r="25" customFormat="false" ht="60" hidden="false" customHeight="true" outlineLevel="0" collapsed="false">
      <c r="A25" s="20" t="s">
        <v>307</v>
      </c>
      <c r="B25" s="20" t="s">
        <v>293</v>
      </c>
      <c r="C25" s="21" t="s">
        <v>308</v>
      </c>
      <c r="D25" s="22" t="s">
        <v>165</v>
      </c>
      <c r="E25" s="21" t="s">
        <v>309</v>
      </c>
      <c r="F25" s="21" t="s">
        <v>310</v>
      </c>
      <c r="G25" s="21" t="s">
        <v>311</v>
      </c>
      <c r="H25" s="21" t="s">
        <v>85</v>
      </c>
      <c r="I25" s="24" t="s">
        <v>149</v>
      </c>
      <c r="J25" s="20"/>
      <c r="K25" s="21"/>
      <c r="L25" s="21"/>
      <c r="M25" s="21"/>
    </row>
    <row r="26" customFormat="false" ht="19.5" hidden="false" customHeight="true" outlineLevel="0" collapsed="false">
      <c r="A26" s="12" t="s">
        <v>312</v>
      </c>
      <c r="B26" s="12"/>
      <c r="C26" s="12"/>
      <c r="D26" s="12"/>
      <c r="E26" s="12"/>
      <c r="F26" s="12"/>
      <c r="G26" s="12"/>
      <c r="H26" s="12"/>
      <c r="I26" s="12"/>
      <c r="J26" s="12"/>
      <c r="K26" s="12"/>
      <c r="L26" s="12"/>
      <c r="M26" s="12"/>
    </row>
    <row r="27" customFormat="false" ht="60" hidden="false" customHeight="true" outlineLevel="0" collapsed="false">
      <c r="A27" s="20" t="s">
        <v>313</v>
      </c>
      <c r="B27" s="20" t="s">
        <v>314</v>
      </c>
      <c r="C27" s="21" t="s">
        <v>315</v>
      </c>
      <c r="D27" s="22" t="s">
        <v>140</v>
      </c>
      <c r="E27" s="21" t="s">
        <v>316</v>
      </c>
      <c r="F27" s="21" t="s">
        <v>317</v>
      </c>
      <c r="G27" s="21" t="s">
        <v>318</v>
      </c>
      <c r="H27" s="21" t="s">
        <v>85</v>
      </c>
      <c r="I27" s="24" t="s">
        <v>149</v>
      </c>
      <c r="J27" s="20"/>
      <c r="K27" s="21"/>
      <c r="L27" s="21"/>
      <c r="M27" s="21"/>
    </row>
    <row r="28" customFormat="false" ht="60" hidden="false" customHeight="true" outlineLevel="0" collapsed="false">
      <c r="A28" s="20" t="s">
        <v>319</v>
      </c>
      <c r="B28" s="20" t="s">
        <v>314</v>
      </c>
      <c r="C28" s="21" t="s">
        <v>320</v>
      </c>
      <c r="D28" s="22" t="s">
        <v>140</v>
      </c>
      <c r="E28" s="21" t="s">
        <v>321</v>
      </c>
      <c r="F28" s="21" t="s">
        <v>322</v>
      </c>
      <c r="G28" s="21" t="s">
        <v>323</v>
      </c>
      <c r="H28" s="21" t="s">
        <v>85</v>
      </c>
      <c r="I28" s="16" t="s">
        <v>60</v>
      </c>
      <c r="J28" s="20"/>
      <c r="K28" s="21"/>
      <c r="L28" s="21"/>
      <c r="M28" s="21"/>
    </row>
    <row r="29" customFormat="false" ht="60" hidden="false" customHeight="true" outlineLevel="0" collapsed="false">
      <c r="A29" s="20" t="s">
        <v>324</v>
      </c>
      <c r="B29" s="20" t="s">
        <v>314</v>
      </c>
      <c r="C29" s="21" t="s">
        <v>325</v>
      </c>
      <c r="D29" s="22" t="s">
        <v>140</v>
      </c>
      <c r="E29" s="21" t="s">
        <v>326</v>
      </c>
      <c r="F29" s="21" t="s">
        <v>327</v>
      </c>
      <c r="G29" s="21" t="s">
        <v>328</v>
      </c>
      <c r="H29" s="21" t="s">
        <v>85</v>
      </c>
      <c r="I29" s="16" t="s">
        <v>60</v>
      </c>
      <c r="J29" s="20"/>
      <c r="K29" s="21"/>
      <c r="L29" s="21"/>
      <c r="M29" s="21"/>
    </row>
    <row r="30" customFormat="false" ht="60" hidden="false" customHeight="true" outlineLevel="0" collapsed="false">
      <c r="A30" s="20" t="s">
        <v>329</v>
      </c>
      <c r="B30" s="20" t="s">
        <v>314</v>
      </c>
      <c r="C30" s="21" t="s">
        <v>330</v>
      </c>
      <c r="D30" s="22" t="s">
        <v>140</v>
      </c>
      <c r="E30" s="21" t="s">
        <v>331</v>
      </c>
      <c r="F30" s="21" t="s">
        <v>332</v>
      </c>
      <c r="G30" s="21" t="s">
        <v>333</v>
      </c>
      <c r="H30" s="21" t="s">
        <v>85</v>
      </c>
      <c r="I30" s="24" t="s">
        <v>149</v>
      </c>
      <c r="J30" s="20"/>
      <c r="K30" s="21"/>
      <c r="L30" s="21"/>
      <c r="M30" s="21"/>
    </row>
    <row r="31" customFormat="false" ht="60" hidden="false" customHeight="true" outlineLevel="0" collapsed="false">
      <c r="A31" s="20" t="s">
        <v>334</v>
      </c>
      <c r="B31" s="20" t="s">
        <v>314</v>
      </c>
      <c r="C31" s="21" t="s">
        <v>335</v>
      </c>
      <c r="D31" s="22" t="s">
        <v>165</v>
      </c>
      <c r="E31" s="21" t="s">
        <v>336</v>
      </c>
      <c r="F31" s="21" t="s">
        <v>337</v>
      </c>
      <c r="G31" s="21" t="s">
        <v>338</v>
      </c>
      <c r="H31" s="21" t="s">
        <v>85</v>
      </c>
      <c r="I31" s="16" t="s">
        <v>60</v>
      </c>
      <c r="J31" s="20"/>
      <c r="K31" s="21"/>
      <c r="L31" s="21"/>
      <c r="M31" s="21"/>
    </row>
    <row r="32" customFormat="false" ht="19.5" hidden="false" customHeight="true" outlineLevel="0" collapsed="false">
      <c r="A32" s="12" t="s">
        <v>339</v>
      </c>
      <c r="B32" s="12"/>
      <c r="C32" s="12"/>
      <c r="D32" s="12"/>
      <c r="E32" s="12"/>
      <c r="F32" s="12"/>
      <c r="G32" s="12"/>
      <c r="H32" s="12"/>
      <c r="I32" s="12"/>
      <c r="J32" s="12"/>
      <c r="K32" s="12"/>
      <c r="L32" s="12"/>
      <c r="M32" s="12"/>
    </row>
    <row r="33" customFormat="false" ht="60" hidden="false" customHeight="true" outlineLevel="0" collapsed="false">
      <c r="A33" s="20" t="s">
        <v>340</v>
      </c>
      <c r="B33" s="20" t="s">
        <v>341</v>
      </c>
      <c r="C33" s="21" t="s">
        <v>342</v>
      </c>
      <c r="D33" s="22" t="s">
        <v>209</v>
      </c>
      <c r="E33" s="21" t="s">
        <v>343</v>
      </c>
      <c r="F33" s="21" t="s">
        <v>344</v>
      </c>
      <c r="G33" s="21" t="s">
        <v>345</v>
      </c>
      <c r="H33" s="21" t="s">
        <v>85</v>
      </c>
      <c r="I33" s="23" t="s">
        <v>101</v>
      </c>
      <c r="J33" s="20"/>
      <c r="K33" s="21"/>
      <c r="L33" s="21"/>
      <c r="M33" s="21"/>
    </row>
    <row r="34" customFormat="false" ht="60" hidden="false" customHeight="true" outlineLevel="0" collapsed="false">
      <c r="A34" s="20" t="s">
        <v>346</v>
      </c>
      <c r="B34" s="20" t="s">
        <v>341</v>
      </c>
      <c r="C34" s="21" t="s">
        <v>347</v>
      </c>
      <c r="D34" s="22" t="s">
        <v>233</v>
      </c>
      <c r="E34" s="21" t="s">
        <v>348</v>
      </c>
      <c r="F34" s="21" t="s">
        <v>349</v>
      </c>
      <c r="G34" s="21" t="s">
        <v>350</v>
      </c>
      <c r="H34" s="21" t="s">
        <v>85</v>
      </c>
      <c r="I34" s="16" t="s">
        <v>60</v>
      </c>
      <c r="J34" s="20"/>
      <c r="K34" s="21"/>
      <c r="L34" s="21"/>
      <c r="M34" s="21"/>
    </row>
    <row r="35" customFormat="false" ht="60" hidden="false" customHeight="true" outlineLevel="0" collapsed="false">
      <c r="A35" s="20" t="s">
        <v>351</v>
      </c>
      <c r="B35" s="20" t="s">
        <v>341</v>
      </c>
      <c r="C35" s="21" t="s">
        <v>352</v>
      </c>
      <c r="D35" s="22" t="s">
        <v>183</v>
      </c>
      <c r="E35" s="21" t="s">
        <v>353</v>
      </c>
      <c r="F35" s="21" t="s">
        <v>354</v>
      </c>
      <c r="G35" s="21" t="s">
        <v>355</v>
      </c>
      <c r="H35" s="21" t="s">
        <v>85</v>
      </c>
      <c r="I35" s="23" t="s">
        <v>101</v>
      </c>
      <c r="J35" s="20"/>
      <c r="K35" s="21"/>
      <c r="L35" s="21"/>
      <c r="M35" s="21"/>
    </row>
    <row r="36" customFormat="false" ht="60" hidden="false" customHeight="true" outlineLevel="0" collapsed="false">
      <c r="A36" s="20" t="s">
        <v>356</v>
      </c>
      <c r="B36" s="20" t="s">
        <v>341</v>
      </c>
      <c r="C36" s="21" t="s">
        <v>357</v>
      </c>
      <c r="D36" s="22" t="s">
        <v>358</v>
      </c>
      <c r="E36" s="21" t="s">
        <v>359</v>
      </c>
      <c r="F36" s="21" t="s">
        <v>360</v>
      </c>
      <c r="G36" s="21" t="s">
        <v>361</v>
      </c>
      <c r="H36" s="21" t="s">
        <v>85</v>
      </c>
      <c r="I36" s="24" t="s">
        <v>149</v>
      </c>
      <c r="J36" s="20"/>
      <c r="K36" s="21"/>
      <c r="L36" s="21"/>
      <c r="M36" s="21"/>
    </row>
  </sheetData>
  <mergeCells count="7">
    <mergeCell ref="A1:M1"/>
    <mergeCell ref="A3:M3"/>
    <mergeCell ref="A7:M7"/>
    <mergeCell ref="A15:M15"/>
    <mergeCell ref="A21:M21"/>
    <mergeCell ref="A26:M26"/>
    <mergeCell ref="A32:M32"/>
  </mergeCells>
  <conditionalFormatting sqref="J3:J37">
    <cfRule type="expression" priority="2" aboveAverage="0" equalAverage="0" bottom="0" percent="0" rank="0" text="" dxfId="0">
      <formula>J3="✅ PASS"</formula>
    </cfRule>
    <cfRule type="expression" priority="3" aboveAverage="0" equalAverage="0" bottom="0" percent="0" rank="0" text="" dxfId="1">
      <formula>J3="❌ FAIL"</formula>
    </cfRule>
    <cfRule type="expression" priority="4" aboveAverage="0" equalAverage="0" bottom="0" percent="0" rank="0" text="" dxfId="2">
      <formula>J3="⚠️ BLOCKED"</formula>
    </cfRule>
  </conditionalFormatting>
  <dataValidations count="2">
    <dataValidation allowBlank="true" errorStyle="stop" operator="between" showDropDown="false" showErrorMessage="false" showInputMessage="false" sqref="J4:J6 J8:J14 J16:J20 J22:J25 J27:J31 J33:J36" type="list">
      <formula1>"✅ PASS,❌ FAIL,⚠️ BLOCKED,⏭️ SKIP"</formula1>
      <formula2>0</formula2>
    </dataValidation>
    <dataValidation allowBlank="true" errorStyle="stop" operator="between" showDropDown="false" showErrorMessage="false" showInputMessage="false" sqref="I4:I6 I8:I14 I16:I20 I22:I25 I27:I31 I33:I36"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6"/>
    <col collapsed="false" customWidth="true" hidden="false" outlineLevel="0" max="4" min="4" style="0" width="12"/>
    <col collapsed="false" customWidth="true" hidden="false" outlineLevel="0" max="5" min="5" style="0" width="8"/>
    <col collapsed="false" customWidth="true" hidden="false" outlineLevel="0" max="6" min="6" style="0" width="14"/>
    <col collapsed="false" customWidth="true" hidden="false" outlineLevel="0" max="7" min="7" style="0" width="18"/>
    <col collapsed="false" customWidth="true" hidden="false" outlineLevel="0" max="8" min="8" style="0" width="38"/>
    <col collapsed="false" customWidth="true" hidden="false" outlineLevel="0" max="9" min="9" style="0" width="26"/>
    <col collapsed="false" customWidth="true" hidden="false" outlineLevel="0" max="10" min="10" style="0" width="38"/>
    <col collapsed="false" customWidth="true" hidden="false" outlineLevel="0" max="12" min="11" style="0" width="30"/>
    <col collapsed="false" customWidth="true" hidden="false" outlineLevel="0" max="13" min="13" style="0" width="12"/>
  </cols>
  <sheetData>
    <row r="1" customFormat="false" ht="25.5" hidden="false" customHeight="true" outlineLevel="0" collapsed="false">
      <c r="A1" s="26" t="s">
        <v>362</v>
      </c>
      <c r="B1" s="26"/>
      <c r="C1" s="26"/>
      <c r="D1" s="26"/>
      <c r="E1" s="26"/>
      <c r="F1" s="26"/>
      <c r="G1" s="26"/>
      <c r="H1" s="26"/>
      <c r="I1" s="26"/>
      <c r="J1" s="26"/>
      <c r="K1" s="26"/>
      <c r="L1" s="26"/>
      <c r="M1" s="26"/>
    </row>
    <row r="2" customFormat="false" ht="21.75" hidden="false" customHeight="true" outlineLevel="0" collapsed="false">
      <c r="A2" s="27" t="s">
        <v>363</v>
      </c>
      <c r="B2" s="27" t="s">
        <v>39</v>
      </c>
      <c r="C2" s="27" t="s">
        <v>50</v>
      </c>
      <c r="D2" s="27" t="s">
        <v>51</v>
      </c>
      <c r="E2" s="27" t="s">
        <v>364</v>
      </c>
      <c r="F2" s="27" t="s">
        <v>365</v>
      </c>
      <c r="G2" s="27" t="s">
        <v>366</v>
      </c>
      <c r="H2" s="27" t="s">
        <v>367</v>
      </c>
      <c r="I2" s="27" t="s">
        <v>368</v>
      </c>
      <c r="J2" s="27" t="s">
        <v>369</v>
      </c>
      <c r="K2" s="27" t="s">
        <v>370</v>
      </c>
      <c r="L2" s="27" t="s">
        <v>371</v>
      </c>
      <c r="M2" s="27" t="s">
        <v>372</v>
      </c>
    </row>
    <row r="3" customFormat="false" ht="39.75" hidden="false" customHeight="true" outlineLevel="0" collapsed="false">
      <c r="A3" s="18" t="str">
        <f aca="false">IF(B3&lt;&gt;"",ROW()-2,"")</f>
        <v/>
      </c>
      <c r="B3" s="18"/>
      <c r="C3" s="18"/>
      <c r="D3" s="18"/>
      <c r="E3" s="18"/>
      <c r="F3" s="18"/>
      <c r="G3" s="18"/>
      <c r="H3" s="18"/>
      <c r="I3" s="18"/>
      <c r="J3" s="18"/>
      <c r="K3" s="18"/>
      <c r="L3" s="18"/>
      <c r="M3" s="18"/>
    </row>
    <row r="4" customFormat="false" ht="39.75" hidden="false" customHeight="true" outlineLevel="0" collapsed="false">
      <c r="A4" s="14" t="str">
        <f aca="false">IF(B4&lt;&gt;"",ROW()-2,"")</f>
        <v/>
      </c>
      <c r="B4" s="14"/>
      <c r="C4" s="14"/>
      <c r="D4" s="14"/>
      <c r="E4" s="14"/>
      <c r="F4" s="14"/>
      <c r="G4" s="14"/>
      <c r="H4" s="14"/>
      <c r="I4" s="14"/>
      <c r="J4" s="14"/>
      <c r="K4" s="14"/>
      <c r="L4" s="14"/>
      <c r="M4" s="14"/>
    </row>
    <row r="5" customFormat="false" ht="39.75" hidden="false" customHeight="true" outlineLevel="0" collapsed="false">
      <c r="A5" s="18" t="str">
        <f aca="false">IF(B5&lt;&gt;"",ROW()-2,"")</f>
        <v/>
      </c>
      <c r="B5" s="18"/>
      <c r="C5" s="18"/>
      <c r="D5" s="18"/>
      <c r="E5" s="18"/>
      <c r="F5" s="18"/>
      <c r="G5" s="18"/>
      <c r="H5" s="18"/>
      <c r="I5" s="18"/>
      <c r="J5" s="18"/>
      <c r="K5" s="18"/>
      <c r="L5" s="18"/>
      <c r="M5" s="18"/>
    </row>
    <row r="6" customFormat="false" ht="39.75" hidden="false" customHeight="true" outlineLevel="0" collapsed="false">
      <c r="A6" s="14" t="str">
        <f aca="false">IF(B6&lt;&gt;"",ROW()-2,"")</f>
        <v/>
      </c>
      <c r="B6" s="14"/>
      <c r="C6" s="14"/>
      <c r="D6" s="14"/>
      <c r="E6" s="14"/>
      <c r="F6" s="14"/>
      <c r="G6" s="14"/>
      <c r="H6" s="14"/>
      <c r="I6" s="14"/>
      <c r="J6" s="14"/>
      <c r="K6" s="14"/>
      <c r="L6" s="14"/>
      <c r="M6" s="14"/>
    </row>
    <row r="7" customFormat="false" ht="39.75" hidden="false" customHeight="true" outlineLevel="0" collapsed="false">
      <c r="A7" s="18" t="str">
        <f aca="false">IF(B7&lt;&gt;"",ROW()-2,"")</f>
        <v/>
      </c>
      <c r="B7" s="18"/>
      <c r="C7" s="18"/>
      <c r="D7" s="18"/>
      <c r="E7" s="18"/>
      <c r="F7" s="18"/>
      <c r="G7" s="18"/>
      <c r="H7" s="18"/>
      <c r="I7" s="18"/>
      <c r="J7" s="18"/>
      <c r="K7" s="18"/>
      <c r="L7" s="18"/>
      <c r="M7" s="18"/>
    </row>
    <row r="8" customFormat="false" ht="39.75" hidden="false" customHeight="true" outlineLevel="0" collapsed="false">
      <c r="A8" s="14" t="str">
        <f aca="false">IF(B8&lt;&gt;"",ROW()-2,"")</f>
        <v/>
      </c>
      <c r="B8" s="14"/>
      <c r="C8" s="14"/>
      <c r="D8" s="14"/>
      <c r="E8" s="14"/>
      <c r="F8" s="14"/>
      <c r="G8" s="14"/>
      <c r="H8" s="14"/>
      <c r="I8" s="14"/>
      <c r="J8" s="14"/>
      <c r="K8" s="14"/>
      <c r="L8" s="14"/>
      <c r="M8" s="14"/>
    </row>
    <row r="9" customFormat="false" ht="39.75" hidden="false" customHeight="true" outlineLevel="0" collapsed="false">
      <c r="A9" s="18" t="str">
        <f aca="false">IF(B9&lt;&gt;"",ROW()-2,"")</f>
        <v/>
      </c>
      <c r="B9" s="18"/>
      <c r="C9" s="18"/>
      <c r="D9" s="18"/>
      <c r="E9" s="18"/>
      <c r="F9" s="18"/>
      <c r="G9" s="18"/>
      <c r="H9" s="18"/>
      <c r="I9" s="18"/>
      <c r="J9" s="18"/>
      <c r="K9" s="18"/>
      <c r="L9" s="18"/>
      <c r="M9" s="18"/>
    </row>
    <row r="10" customFormat="false" ht="39.75" hidden="false" customHeight="true" outlineLevel="0" collapsed="false">
      <c r="A10" s="14" t="str">
        <f aca="false">IF(B10&lt;&gt;"",ROW()-2,"")</f>
        <v/>
      </c>
      <c r="B10" s="14"/>
      <c r="C10" s="14"/>
      <c r="D10" s="14"/>
      <c r="E10" s="14"/>
      <c r="F10" s="14"/>
      <c r="G10" s="14"/>
      <c r="H10" s="14"/>
      <c r="I10" s="14"/>
      <c r="J10" s="14"/>
      <c r="K10" s="14"/>
      <c r="L10" s="14"/>
      <c r="M10" s="14"/>
    </row>
    <row r="11" customFormat="false" ht="39.75" hidden="false" customHeight="true" outlineLevel="0" collapsed="false">
      <c r="A11" s="18" t="str">
        <f aca="false">IF(B11&lt;&gt;"",ROW()-2,"")</f>
        <v/>
      </c>
      <c r="B11" s="18"/>
      <c r="C11" s="18"/>
      <c r="D11" s="18"/>
      <c r="E11" s="18"/>
      <c r="F11" s="18"/>
      <c r="G11" s="18"/>
      <c r="H11" s="18"/>
      <c r="I11" s="18"/>
      <c r="J11" s="18"/>
      <c r="K11" s="18"/>
      <c r="L11" s="18"/>
      <c r="M11" s="18"/>
    </row>
    <row r="12" customFormat="false" ht="39.75" hidden="false" customHeight="true" outlineLevel="0" collapsed="false">
      <c r="A12" s="14" t="str">
        <f aca="false">IF(B12&lt;&gt;"",ROW()-2,"")</f>
        <v/>
      </c>
      <c r="B12" s="14"/>
      <c r="C12" s="14"/>
      <c r="D12" s="14"/>
      <c r="E12" s="14"/>
      <c r="F12" s="14"/>
      <c r="G12" s="14"/>
      <c r="H12" s="14"/>
      <c r="I12" s="14"/>
      <c r="J12" s="14"/>
      <c r="K12" s="14"/>
      <c r="L12" s="14"/>
      <c r="M12" s="14"/>
    </row>
    <row r="13" customFormat="false" ht="39.75" hidden="false" customHeight="true" outlineLevel="0" collapsed="false">
      <c r="A13" s="18" t="str">
        <f aca="false">IF(B13&lt;&gt;"",ROW()-2,"")</f>
        <v/>
      </c>
      <c r="B13" s="18"/>
      <c r="C13" s="18"/>
      <c r="D13" s="18"/>
      <c r="E13" s="18"/>
      <c r="F13" s="18"/>
      <c r="G13" s="18"/>
      <c r="H13" s="18"/>
      <c r="I13" s="18"/>
      <c r="J13" s="18"/>
      <c r="K13" s="18"/>
      <c r="L13" s="18"/>
      <c r="M13" s="18"/>
    </row>
    <row r="14" customFormat="false" ht="39.75" hidden="false" customHeight="true" outlineLevel="0" collapsed="false">
      <c r="A14" s="14" t="str">
        <f aca="false">IF(B14&lt;&gt;"",ROW()-2,"")</f>
        <v/>
      </c>
      <c r="B14" s="14"/>
      <c r="C14" s="14"/>
      <c r="D14" s="14"/>
      <c r="E14" s="14"/>
      <c r="F14" s="14"/>
      <c r="G14" s="14"/>
      <c r="H14" s="14"/>
      <c r="I14" s="14"/>
      <c r="J14" s="14"/>
      <c r="K14" s="14"/>
      <c r="L14" s="14"/>
      <c r="M14" s="14"/>
    </row>
    <row r="15" customFormat="false" ht="39.75" hidden="false" customHeight="true" outlineLevel="0" collapsed="false">
      <c r="A15" s="18" t="str">
        <f aca="false">IF(B15&lt;&gt;"",ROW()-2,"")</f>
        <v/>
      </c>
      <c r="B15" s="18"/>
      <c r="C15" s="18"/>
      <c r="D15" s="18"/>
      <c r="E15" s="18"/>
      <c r="F15" s="18"/>
      <c r="G15" s="18"/>
      <c r="H15" s="18"/>
      <c r="I15" s="18"/>
      <c r="J15" s="18"/>
      <c r="K15" s="18"/>
      <c r="L15" s="18"/>
      <c r="M15" s="18"/>
    </row>
    <row r="16" customFormat="false" ht="39.75" hidden="false" customHeight="true" outlineLevel="0" collapsed="false">
      <c r="A16" s="14" t="str">
        <f aca="false">IF(B16&lt;&gt;"",ROW()-2,"")</f>
        <v/>
      </c>
      <c r="B16" s="14"/>
      <c r="C16" s="14"/>
      <c r="D16" s="14"/>
      <c r="E16" s="14"/>
      <c r="F16" s="14"/>
      <c r="G16" s="14"/>
      <c r="H16" s="14"/>
      <c r="I16" s="14"/>
      <c r="J16" s="14"/>
      <c r="K16" s="14"/>
      <c r="L16" s="14"/>
      <c r="M16" s="14"/>
    </row>
    <row r="17" customFormat="false" ht="39.75" hidden="false" customHeight="true" outlineLevel="0" collapsed="false">
      <c r="A17" s="18" t="str">
        <f aca="false">IF(B17&lt;&gt;"",ROW()-2,"")</f>
        <v/>
      </c>
      <c r="B17" s="18"/>
      <c r="C17" s="18"/>
      <c r="D17" s="18"/>
      <c r="E17" s="18"/>
      <c r="F17" s="18"/>
      <c r="G17" s="18"/>
      <c r="H17" s="18"/>
      <c r="I17" s="18"/>
      <c r="J17" s="18"/>
      <c r="K17" s="18"/>
      <c r="L17" s="18"/>
      <c r="M17" s="18"/>
    </row>
    <row r="18" customFormat="false" ht="39.75" hidden="false" customHeight="true" outlineLevel="0" collapsed="false">
      <c r="A18" s="14" t="str">
        <f aca="false">IF(B18&lt;&gt;"",ROW()-2,"")</f>
        <v/>
      </c>
      <c r="B18" s="14"/>
      <c r="C18" s="14"/>
      <c r="D18" s="14"/>
      <c r="E18" s="14"/>
      <c r="F18" s="14"/>
      <c r="G18" s="14"/>
      <c r="H18" s="14"/>
      <c r="I18" s="14"/>
      <c r="J18" s="14"/>
      <c r="K18" s="14"/>
      <c r="L18" s="14"/>
      <c r="M18" s="14"/>
    </row>
    <row r="19" customFormat="false" ht="39.75" hidden="false" customHeight="true" outlineLevel="0" collapsed="false">
      <c r="A19" s="18" t="str">
        <f aca="false">IF(B19&lt;&gt;"",ROW()-2,"")</f>
        <v/>
      </c>
      <c r="B19" s="18"/>
      <c r="C19" s="18"/>
      <c r="D19" s="18"/>
      <c r="E19" s="18"/>
      <c r="F19" s="18"/>
      <c r="G19" s="18"/>
      <c r="H19" s="18"/>
      <c r="I19" s="18"/>
      <c r="J19" s="18"/>
      <c r="K19" s="18"/>
      <c r="L19" s="18"/>
      <c r="M19" s="18"/>
    </row>
    <row r="20" customFormat="false" ht="39.75" hidden="false" customHeight="true" outlineLevel="0" collapsed="false">
      <c r="A20" s="14" t="str">
        <f aca="false">IF(B20&lt;&gt;"",ROW()-2,"")</f>
        <v/>
      </c>
      <c r="B20" s="14"/>
      <c r="C20" s="14"/>
      <c r="D20" s="14"/>
      <c r="E20" s="14"/>
      <c r="F20" s="14"/>
      <c r="G20" s="14"/>
      <c r="H20" s="14"/>
      <c r="I20" s="14"/>
      <c r="J20" s="14"/>
      <c r="K20" s="14"/>
      <c r="L20" s="14"/>
      <c r="M20" s="14"/>
    </row>
    <row r="21" customFormat="false" ht="39.75" hidden="false" customHeight="true" outlineLevel="0" collapsed="false">
      <c r="A21" s="18" t="str">
        <f aca="false">IF(B21&lt;&gt;"",ROW()-2,"")</f>
        <v/>
      </c>
      <c r="B21" s="18"/>
      <c r="C21" s="18"/>
      <c r="D21" s="18"/>
      <c r="E21" s="18"/>
      <c r="F21" s="18"/>
      <c r="G21" s="18"/>
      <c r="H21" s="18"/>
      <c r="I21" s="18"/>
      <c r="J21" s="18"/>
      <c r="K21" s="18"/>
      <c r="L21" s="18"/>
      <c r="M21" s="18"/>
    </row>
    <row r="22" customFormat="false" ht="39.75" hidden="false" customHeight="true" outlineLevel="0" collapsed="false">
      <c r="A22" s="14" t="str">
        <f aca="false">IF(B22&lt;&gt;"",ROW()-2,"")</f>
        <v/>
      </c>
      <c r="B22" s="14"/>
      <c r="C22" s="14"/>
      <c r="D22" s="14"/>
      <c r="E22" s="14"/>
      <c r="F22" s="14"/>
      <c r="G22" s="14"/>
      <c r="H22" s="14"/>
      <c r="I22" s="14"/>
      <c r="J22" s="14"/>
      <c r="K22" s="14"/>
      <c r="L22" s="14"/>
      <c r="M22" s="14"/>
    </row>
    <row r="23" customFormat="false" ht="39.75" hidden="false" customHeight="true" outlineLevel="0" collapsed="false">
      <c r="A23" s="18" t="str">
        <f aca="false">IF(B23&lt;&gt;"",ROW()-2,"")</f>
        <v/>
      </c>
      <c r="B23" s="18"/>
      <c r="C23" s="18"/>
      <c r="D23" s="18"/>
      <c r="E23" s="18"/>
      <c r="F23" s="18"/>
      <c r="G23" s="18"/>
      <c r="H23" s="18"/>
      <c r="I23" s="18"/>
      <c r="J23" s="18"/>
      <c r="K23" s="18"/>
      <c r="L23" s="18"/>
      <c r="M23" s="18"/>
    </row>
    <row r="24" customFormat="false" ht="39.75" hidden="false" customHeight="true" outlineLevel="0" collapsed="false">
      <c r="A24" s="14" t="str">
        <f aca="false">IF(B24&lt;&gt;"",ROW()-2,"")</f>
        <v/>
      </c>
      <c r="B24" s="14"/>
      <c r="C24" s="14"/>
      <c r="D24" s="14"/>
      <c r="E24" s="14"/>
      <c r="F24" s="14"/>
      <c r="G24" s="14"/>
      <c r="H24" s="14"/>
      <c r="I24" s="14"/>
      <c r="J24" s="14"/>
      <c r="K24" s="14"/>
      <c r="L24" s="14"/>
      <c r="M24" s="14"/>
    </row>
    <row r="25" customFormat="false" ht="39.75" hidden="false" customHeight="true" outlineLevel="0" collapsed="false">
      <c r="A25" s="18" t="str">
        <f aca="false">IF(B25&lt;&gt;"",ROW()-2,"")</f>
        <v/>
      </c>
      <c r="B25" s="18"/>
      <c r="C25" s="18"/>
      <c r="D25" s="18"/>
      <c r="E25" s="18"/>
      <c r="F25" s="18"/>
      <c r="G25" s="18"/>
      <c r="H25" s="18"/>
      <c r="I25" s="18"/>
      <c r="J25" s="18"/>
      <c r="K25" s="18"/>
      <c r="L25" s="18"/>
      <c r="M25" s="18"/>
    </row>
    <row r="26" customFormat="false" ht="39.75" hidden="false" customHeight="true" outlineLevel="0" collapsed="false">
      <c r="A26" s="14" t="str">
        <f aca="false">IF(B26&lt;&gt;"",ROW()-2,"")</f>
        <v/>
      </c>
      <c r="B26" s="14"/>
      <c r="C26" s="14"/>
      <c r="D26" s="14"/>
      <c r="E26" s="14"/>
      <c r="F26" s="14"/>
      <c r="G26" s="14"/>
      <c r="H26" s="14"/>
      <c r="I26" s="14"/>
      <c r="J26" s="14"/>
      <c r="K26" s="14"/>
      <c r="L26" s="14"/>
      <c r="M26" s="14"/>
    </row>
    <row r="27" customFormat="false" ht="39.75" hidden="false" customHeight="true" outlineLevel="0" collapsed="false">
      <c r="A27" s="18" t="str">
        <f aca="false">IF(B27&lt;&gt;"",ROW()-2,"")</f>
        <v/>
      </c>
      <c r="B27" s="18"/>
      <c r="C27" s="18"/>
      <c r="D27" s="18"/>
      <c r="E27" s="18"/>
      <c r="F27" s="18"/>
      <c r="G27" s="18"/>
      <c r="H27" s="18"/>
      <c r="I27" s="18"/>
      <c r="J27" s="18"/>
      <c r="K27" s="18"/>
      <c r="L27" s="18"/>
      <c r="M27" s="18"/>
    </row>
    <row r="28" customFormat="false" ht="39.75" hidden="false" customHeight="true" outlineLevel="0" collapsed="false">
      <c r="A28" s="14" t="str">
        <f aca="false">IF(B28&lt;&gt;"",ROW()-2,"")</f>
        <v/>
      </c>
      <c r="B28" s="14"/>
      <c r="C28" s="14"/>
      <c r="D28" s="14"/>
      <c r="E28" s="14"/>
      <c r="F28" s="14"/>
      <c r="G28" s="14"/>
      <c r="H28" s="14"/>
      <c r="I28" s="14"/>
      <c r="J28" s="14"/>
      <c r="K28" s="14"/>
      <c r="L28" s="14"/>
      <c r="M28" s="14"/>
    </row>
    <row r="29" customFormat="false" ht="39.75" hidden="false" customHeight="true" outlineLevel="0" collapsed="false">
      <c r="A29" s="18" t="str">
        <f aca="false">IF(B29&lt;&gt;"",ROW()-2,"")</f>
        <v/>
      </c>
      <c r="B29" s="18"/>
      <c r="C29" s="18"/>
      <c r="D29" s="18"/>
      <c r="E29" s="18"/>
      <c r="F29" s="18"/>
      <c r="G29" s="18"/>
      <c r="H29" s="18"/>
      <c r="I29" s="18"/>
      <c r="J29" s="18"/>
      <c r="K29" s="18"/>
      <c r="L29" s="18"/>
      <c r="M29" s="18"/>
    </row>
    <row r="30" customFormat="false" ht="39.75" hidden="false" customHeight="true" outlineLevel="0" collapsed="false">
      <c r="A30" s="14" t="str">
        <f aca="false">IF(B30&lt;&gt;"",ROW()-2,"")</f>
        <v/>
      </c>
      <c r="B30" s="14"/>
      <c r="C30" s="14"/>
      <c r="D30" s="14"/>
      <c r="E30" s="14"/>
      <c r="F30" s="14"/>
      <c r="G30" s="14"/>
      <c r="H30" s="14"/>
      <c r="I30" s="14"/>
      <c r="J30" s="14"/>
      <c r="K30" s="14"/>
      <c r="L30" s="14"/>
      <c r="M30" s="14"/>
    </row>
    <row r="31" customFormat="false" ht="39.75" hidden="false" customHeight="true" outlineLevel="0" collapsed="false">
      <c r="A31" s="18" t="str">
        <f aca="false">IF(B31&lt;&gt;"",ROW()-2,"")</f>
        <v/>
      </c>
      <c r="B31" s="18"/>
      <c r="C31" s="18"/>
      <c r="D31" s="18"/>
      <c r="E31" s="18"/>
      <c r="F31" s="18"/>
      <c r="G31" s="18"/>
      <c r="H31" s="18"/>
      <c r="I31" s="18"/>
      <c r="J31" s="18"/>
      <c r="K31" s="18"/>
      <c r="L31" s="18"/>
      <c r="M31" s="18"/>
    </row>
    <row r="32" customFormat="false" ht="39.75" hidden="false" customHeight="true" outlineLevel="0" collapsed="false">
      <c r="A32" s="14" t="str">
        <f aca="false">IF(B32&lt;&gt;"",ROW()-2,"")</f>
        <v/>
      </c>
      <c r="B32" s="14"/>
      <c r="C32" s="14"/>
      <c r="D32" s="14"/>
      <c r="E32" s="14"/>
      <c r="F32" s="14"/>
      <c r="G32" s="14"/>
      <c r="H32" s="14"/>
      <c r="I32" s="14"/>
      <c r="J32" s="14"/>
      <c r="K32" s="14"/>
      <c r="L32" s="14"/>
      <c r="M32" s="14"/>
    </row>
    <row r="33" customFormat="false" ht="39.75" hidden="false" customHeight="true" outlineLevel="0" collapsed="false">
      <c r="A33" s="18" t="str">
        <f aca="false">IF(B33&lt;&gt;"",ROW()-2,"")</f>
        <v/>
      </c>
      <c r="B33" s="18"/>
      <c r="C33" s="18"/>
      <c r="D33" s="18"/>
      <c r="E33" s="18"/>
      <c r="F33" s="18"/>
      <c r="G33" s="18"/>
      <c r="H33" s="18"/>
      <c r="I33" s="18"/>
      <c r="J33" s="18"/>
      <c r="K33" s="18"/>
      <c r="L33" s="18"/>
      <c r="M33" s="18"/>
    </row>
    <row r="34" customFormat="false" ht="39.75" hidden="false" customHeight="true" outlineLevel="0" collapsed="false">
      <c r="A34" s="14" t="str">
        <f aca="false">IF(B34&lt;&gt;"",ROW()-2,"")</f>
        <v/>
      </c>
      <c r="B34" s="14"/>
      <c r="C34" s="14"/>
      <c r="D34" s="14"/>
      <c r="E34" s="14"/>
      <c r="F34" s="14"/>
      <c r="G34" s="14"/>
      <c r="H34" s="14"/>
      <c r="I34" s="14"/>
      <c r="J34" s="14"/>
      <c r="K34" s="14"/>
      <c r="L34" s="14"/>
      <c r="M34" s="14"/>
    </row>
    <row r="35" customFormat="false" ht="39.75" hidden="false" customHeight="true" outlineLevel="0" collapsed="false">
      <c r="A35" s="18" t="str">
        <f aca="false">IF(B35&lt;&gt;"",ROW()-2,"")</f>
        <v/>
      </c>
      <c r="B35" s="18"/>
      <c r="C35" s="18"/>
      <c r="D35" s="18"/>
      <c r="E35" s="18"/>
      <c r="F35" s="18"/>
      <c r="G35" s="18"/>
      <c r="H35" s="18"/>
      <c r="I35" s="18"/>
      <c r="J35" s="18"/>
      <c r="K35" s="18"/>
      <c r="L35" s="18"/>
      <c r="M35" s="18"/>
    </row>
    <row r="36" customFormat="false" ht="39.75" hidden="false" customHeight="true" outlineLevel="0" collapsed="false">
      <c r="A36" s="14" t="str">
        <f aca="false">IF(B36&lt;&gt;"",ROW()-2,"")</f>
        <v/>
      </c>
      <c r="B36" s="14"/>
      <c r="C36" s="14"/>
      <c r="D36" s="14"/>
      <c r="E36" s="14"/>
      <c r="F36" s="14"/>
      <c r="G36" s="14"/>
      <c r="H36" s="14"/>
      <c r="I36" s="14"/>
      <c r="J36" s="14"/>
      <c r="K36" s="14"/>
      <c r="L36" s="14"/>
      <c r="M36" s="14"/>
    </row>
    <row r="37" customFormat="false" ht="39.75" hidden="false" customHeight="true" outlineLevel="0" collapsed="false">
      <c r="A37" s="18" t="str">
        <f aca="false">IF(B37&lt;&gt;"",ROW()-2,"")</f>
        <v/>
      </c>
      <c r="B37" s="18"/>
      <c r="C37" s="18"/>
      <c r="D37" s="18"/>
      <c r="E37" s="18"/>
      <c r="F37" s="18"/>
      <c r="G37" s="18"/>
      <c r="H37" s="18"/>
      <c r="I37" s="18"/>
      <c r="J37" s="18"/>
      <c r="K37" s="18"/>
      <c r="L37" s="18"/>
      <c r="M37" s="18"/>
    </row>
    <row r="38" customFormat="false" ht="39.75" hidden="false" customHeight="true" outlineLevel="0" collapsed="false">
      <c r="A38" s="14" t="str">
        <f aca="false">IF(B38&lt;&gt;"",ROW()-2,"")</f>
        <v/>
      </c>
      <c r="B38" s="14"/>
      <c r="C38" s="14"/>
      <c r="D38" s="14"/>
      <c r="E38" s="14"/>
      <c r="F38" s="14"/>
      <c r="G38" s="14"/>
      <c r="H38" s="14"/>
      <c r="I38" s="14"/>
      <c r="J38" s="14"/>
      <c r="K38" s="14"/>
      <c r="L38" s="14"/>
      <c r="M38" s="14"/>
    </row>
    <row r="39" customFormat="false" ht="39.75" hidden="false" customHeight="true" outlineLevel="0" collapsed="false">
      <c r="A39" s="18" t="str">
        <f aca="false">IF(B39&lt;&gt;"",ROW()-2,"")</f>
        <v/>
      </c>
      <c r="B39" s="18"/>
      <c r="C39" s="18"/>
      <c r="D39" s="18"/>
      <c r="E39" s="18"/>
      <c r="F39" s="18"/>
      <c r="G39" s="18"/>
      <c r="H39" s="18"/>
      <c r="I39" s="18"/>
      <c r="J39" s="18"/>
      <c r="K39" s="18"/>
      <c r="L39" s="18"/>
      <c r="M39" s="18"/>
    </row>
    <row r="40" customFormat="false" ht="39.75" hidden="false" customHeight="true" outlineLevel="0" collapsed="false">
      <c r="A40" s="14" t="str">
        <f aca="false">IF(B40&lt;&gt;"",ROW()-2,"")</f>
        <v/>
      </c>
      <c r="B40" s="14"/>
      <c r="C40" s="14"/>
      <c r="D40" s="14"/>
      <c r="E40" s="14"/>
      <c r="F40" s="14"/>
      <c r="G40" s="14"/>
      <c r="H40" s="14"/>
      <c r="I40" s="14"/>
      <c r="J40" s="14"/>
      <c r="K40" s="14"/>
      <c r="L40" s="14"/>
      <c r="M40" s="14"/>
    </row>
    <row r="41" customFormat="false" ht="39.75" hidden="false" customHeight="true" outlineLevel="0" collapsed="false">
      <c r="A41" s="18" t="str">
        <f aca="false">IF(B41&lt;&gt;"",ROW()-2,"")</f>
        <v/>
      </c>
      <c r="B41" s="18"/>
      <c r="C41" s="18"/>
      <c r="D41" s="18"/>
      <c r="E41" s="18"/>
      <c r="F41" s="18"/>
      <c r="G41" s="18"/>
      <c r="H41" s="18"/>
      <c r="I41" s="18"/>
      <c r="J41" s="18"/>
      <c r="K41" s="18"/>
      <c r="L41" s="18"/>
      <c r="M41" s="18"/>
    </row>
    <row r="42" customFormat="false" ht="39.75" hidden="false" customHeight="true" outlineLevel="0" collapsed="false">
      <c r="A42" s="14" t="str">
        <f aca="false">IF(B42&lt;&gt;"",ROW()-2,"")</f>
        <v/>
      </c>
      <c r="B42" s="14"/>
      <c r="C42" s="14"/>
      <c r="D42" s="14"/>
      <c r="E42" s="14"/>
      <c r="F42" s="14"/>
      <c r="G42" s="14"/>
      <c r="H42" s="14"/>
      <c r="I42" s="14"/>
      <c r="J42" s="14"/>
      <c r="K42" s="14"/>
      <c r="L42" s="14"/>
      <c r="M42" s="14"/>
    </row>
  </sheetData>
  <mergeCells count="1">
    <mergeCell ref="A1:M1"/>
  </mergeCells>
  <conditionalFormatting sqref="G3:G42">
    <cfRule type="expression" priority="2" aboveAverage="0" equalAverage="0" bottom="0" percent="0" rank="0" text="" dxfId="0">
      <formula>G3="✅ PASS"</formula>
    </cfRule>
    <cfRule type="expression" priority="3" aboveAverage="0" equalAverage="0" bottom="0" percent="0" rank="0" text="" dxfId="1">
      <formula>G3="❌ FAIL"</formula>
    </cfRule>
    <cfRule type="expression" priority="4" aboveAverage="0" equalAverage="0" bottom="0" percent="0" rank="0" text="" dxfId="2">
      <formula>G3="⚠️ BLOCKED"</formula>
    </cfRule>
  </conditionalFormatting>
  <dataValidations count="1">
    <dataValidation allowBlank="true" errorStyle="stop" operator="between" showDropDown="false" showErrorMessage="false" showInputMessage="false" sqref="G3:G42" type="list">
      <formula1>"✅ PASS,❌ FAIL,⚠️ BLOCKED,⏭️ 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8"/>
    <col collapsed="false" customWidth="true" hidden="false" outlineLevel="0" max="7" min="7" style="0" width="22"/>
  </cols>
  <sheetData>
    <row r="1" customFormat="false" ht="31.5" hidden="false" customHeight="true" outlineLevel="0" collapsed="false">
      <c r="B1" s="28" t="s">
        <v>373</v>
      </c>
      <c r="C1" s="28"/>
      <c r="D1" s="28"/>
      <c r="E1" s="28"/>
      <c r="F1" s="28"/>
      <c r="G1" s="28"/>
    </row>
    <row r="3" customFormat="false" ht="25.5" hidden="false" customHeight="true" outlineLevel="0" collapsed="false">
      <c r="B3" s="6" t="s">
        <v>374</v>
      </c>
      <c r="C3" s="6"/>
      <c r="D3" s="6"/>
      <c r="E3" s="6"/>
      <c r="F3" s="6"/>
      <c r="G3" s="6"/>
    </row>
    <row r="4" customFormat="false" ht="18" hidden="false" customHeight="true" outlineLevel="0" collapsed="false">
      <c r="B4" s="29" t="s">
        <v>13</v>
      </c>
      <c r="C4" s="29" t="s">
        <v>375</v>
      </c>
      <c r="D4" s="29" t="s">
        <v>376</v>
      </c>
      <c r="E4" s="29" t="s">
        <v>377</v>
      </c>
      <c r="F4" s="29" t="s">
        <v>378</v>
      </c>
      <c r="G4" s="29" t="s">
        <v>379</v>
      </c>
    </row>
    <row r="5" customFormat="false" ht="45" hidden="false" customHeight="true" outlineLevel="0" collapsed="false">
      <c r="B5" s="30" t="n">
        <v>53</v>
      </c>
      <c r="C5" s="31" t="n">
        <f aca="false">COUNTIF('📝 Test Log'!G:G,"✅ PASS")</f>
        <v>0</v>
      </c>
      <c r="D5" s="32" t="n">
        <f aca="false">COUNTIF('📝 Test Log'!G:G,"❌ FAIL")</f>
        <v>0</v>
      </c>
      <c r="E5" s="33" t="n">
        <f aca="false">COUNTIF('📝 Test Log'!G:G,"⚠️ BLOCKED")</f>
        <v>0</v>
      </c>
      <c r="F5" s="34" t="n">
        <f aca="false">COUNTIF('📝 Test Log'!G:G,"⏭️ SKIP")</f>
        <v>0</v>
      </c>
      <c r="G5" s="35" t="n">
        <f aca="false">53-COUNTA('📝 Test Log'!G3:G42)</f>
        <v>53</v>
      </c>
    </row>
    <row r="7" customFormat="false" ht="19.5" hidden="false" customHeight="true" outlineLevel="0" collapsed="false">
      <c r="B7" s="36" t="s">
        <v>380</v>
      </c>
      <c r="C7" s="36"/>
      <c r="D7" s="36"/>
      <c r="E7" s="36"/>
      <c r="F7" s="36"/>
      <c r="G7" s="36"/>
    </row>
    <row r="8" customFormat="false" ht="15" hidden="false" customHeight="false" outlineLevel="0" collapsed="false">
      <c r="B8" s="37" t="s">
        <v>40</v>
      </c>
      <c r="C8" s="37" t="s">
        <v>381</v>
      </c>
      <c r="D8" s="37" t="s">
        <v>382</v>
      </c>
      <c r="E8" s="37" t="s">
        <v>383</v>
      </c>
      <c r="F8" s="37" t="s">
        <v>384</v>
      </c>
    </row>
    <row r="9" customFormat="false" ht="19.5" hidden="false" customHeight="true" outlineLevel="0" collapsed="false">
      <c r="B9" s="25" t="s">
        <v>385</v>
      </c>
      <c r="C9" s="17" t="n">
        <v>25</v>
      </c>
      <c r="D9" s="17" t="n">
        <v>3</v>
      </c>
      <c r="E9" s="17" t="n">
        <v>11</v>
      </c>
      <c r="F9" s="17" t="s">
        <v>386</v>
      </c>
    </row>
    <row r="10" customFormat="false" ht="19.5" hidden="false" customHeight="true" outlineLevel="0" collapsed="false">
      <c r="B10" s="38" t="s">
        <v>387</v>
      </c>
      <c r="C10" s="13" t="n">
        <v>28</v>
      </c>
      <c r="D10" s="13" t="n">
        <v>10</v>
      </c>
      <c r="E10" s="13" t="n">
        <v>20</v>
      </c>
      <c r="F10" s="13" t="s">
        <v>388</v>
      </c>
    </row>
    <row r="12" customFormat="false" ht="19.5" hidden="false" customHeight="true" outlineLevel="0" collapsed="false">
      <c r="B12" s="39" t="s">
        <v>389</v>
      </c>
      <c r="C12" s="39"/>
      <c r="D12" s="39"/>
      <c r="E12" s="39"/>
      <c r="F12" s="39"/>
      <c r="G12" s="39"/>
    </row>
    <row r="13" customFormat="false" ht="15" hidden="false" customHeight="false" outlineLevel="0" collapsed="false">
      <c r="B13" s="40" t="s">
        <v>39</v>
      </c>
      <c r="C13" s="40" t="s">
        <v>41</v>
      </c>
    </row>
    <row r="14" customFormat="false" ht="21.75" hidden="false" customHeight="true" outlineLevel="0" collapsed="false">
      <c r="B14" s="41" t="s">
        <v>144</v>
      </c>
      <c r="C14" s="42" t="s">
        <v>145</v>
      </c>
      <c r="D14" s="42"/>
      <c r="E14" s="42"/>
      <c r="F14" s="42"/>
      <c r="G14" s="42"/>
    </row>
    <row r="15" customFormat="false" ht="21.75" hidden="false" customHeight="true" outlineLevel="0" collapsed="false">
      <c r="B15" s="41" t="s">
        <v>150</v>
      </c>
      <c r="C15" s="42" t="s">
        <v>151</v>
      </c>
      <c r="D15" s="42"/>
      <c r="E15" s="42"/>
      <c r="F15" s="42"/>
      <c r="G15" s="42"/>
    </row>
    <row r="16" customFormat="false" ht="21.75" hidden="false" customHeight="true" outlineLevel="0" collapsed="false">
      <c r="B16" s="41" t="s">
        <v>187</v>
      </c>
      <c r="C16" s="42" t="s">
        <v>188</v>
      </c>
      <c r="D16" s="42"/>
      <c r="E16" s="42"/>
      <c r="F16" s="42"/>
      <c r="G16" s="42"/>
    </row>
    <row r="17" customFormat="false" ht="21.75" hidden="false" customHeight="true" outlineLevel="0" collapsed="false">
      <c r="B17" s="41" t="s">
        <v>231</v>
      </c>
      <c r="C17" s="42" t="s">
        <v>232</v>
      </c>
      <c r="D17" s="42"/>
      <c r="E17" s="42"/>
      <c r="F17" s="42"/>
      <c r="G17" s="42"/>
    </row>
    <row r="18" customFormat="false" ht="21.75" hidden="false" customHeight="true" outlineLevel="0" collapsed="false">
      <c r="B18" s="41" t="s">
        <v>257</v>
      </c>
      <c r="C18" s="42" t="s">
        <v>258</v>
      </c>
      <c r="D18" s="42"/>
      <c r="E18" s="42"/>
      <c r="F18" s="42"/>
      <c r="G18" s="42"/>
    </row>
    <row r="19" customFormat="false" ht="21.75" hidden="false" customHeight="true" outlineLevel="0" collapsed="false">
      <c r="B19" s="41" t="s">
        <v>263</v>
      </c>
      <c r="C19" s="42" t="s">
        <v>265</v>
      </c>
      <c r="D19" s="42"/>
      <c r="E19" s="42"/>
      <c r="F19" s="42"/>
      <c r="G19" s="42"/>
    </row>
    <row r="20" customFormat="false" ht="21.75" hidden="false" customHeight="true" outlineLevel="0" collapsed="false">
      <c r="B20" s="41" t="s">
        <v>280</v>
      </c>
      <c r="C20" s="42" t="s">
        <v>281</v>
      </c>
      <c r="D20" s="42"/>
      <c r="E20" s="42"/>
      <c r="F20" s="42"/>
      <c r="G20" s="42"/>
    </row>
    <row r="21" customFormat="false" ht="21.75" hidden="false" customHeight="true" outlineLevel="0" collapsed="false">
      <c r="B21" s="41" t="s">
        <v>292</v>
      </c>
      <c r="C21" s="42" t="s">
        <v>294</v>
      </c>
      <c r="D21" s="42"/>
      <c r="E21" s="42"/>
      <c r="F21" s="42"/>
      <c r="G21" s="42"/>
    </row>
    <row r="22" customFormat="false" ht="21.75" hidden="false" customHeight="true" outlineLevel="0" collapsed="false">
      <c r="B22" s="41" t="s">
        <v>297</v>
      </c>
      <c r="C22" s="42" t="s">
        <v>298</v>
      </c>
      <c r="D22" s="42"/>
      <c r="E22" s="42"/>
      <c r="F22" s="42"/>
      <c r="G22" s="42"/>
    </row>
    <row r="23" customFormat="false" ht="21.75" hidden="false" customHeight="true" outlineLevel="0" collapsed="false">
      <c r="B23" s="41" t="s">
        <v>307</v>
      </c>
      <c r="C23" s="42" t="s">
        <v>308</v>
      </c>
      <c r="D23" s="42"/>
      <c r="E23" s="42"/>
      <c r="F23" s="42"/>
      <c r="G23" s="42"/>
    </row>
    <row r="24" customFormat="false" ht="21.75" hidden="false" customHeight="true" outlineLevel="0" collapsed="false">
      <c r="B24" s="41" t="s">
        <v>313</v>
      </c>
      <c r="C24" s="42" t="s">
        <v>315</v>
      </c>
      <c r="D24" s="42"/>
      <c r="E24" s="42"/>
      <c r="F24" s="42"/>
      <c r="G24" s="42"/>
    </row>
    <row r="25" customFormat="false" ht="21.75" hidden="false" customHeight="true" outlineLevel="0" collapsed="false">
      <c r="B25" s="41" t="s">
        <v>329</v>
      </c>
      <c r="C25" s="42" t="s">
        <v>330</v>
      </c>
      <c r="D25" s="42"/>
      <c r="E25" s="42"/>
      <c r="F25" s="42"/>
      <c r="G25" s="42"/>
    </row>
    <row r="26" customFormat="false" ht="21.75" hidden="false" customHeight="true" outlineLevel="0" collapsed="false">
      <c r="B26" s="41" t="s">
        <v>356</v>
      </c>
      <c r="C26" s="42" t="s">
        <v>357</v>
      </c>
      <c r="D26" s="42"/>
      <c r="E26" s="42"/>
      <c r="F26" s="42"/>
      <c r="G26" s="42"/>
    </row>
    <row r="28" customFormat="false" ht="21.75" hidden="false" customHeight="true" outlineLevel="0" collapsed="false">
      <c r="B28" s="43" t="s">
        <v>390</v>
      </c>
      <c r="C28" s="43"/>
      <c r="D28" s="43"/>
      <c r="E28" s="43"/>
      <c r="F28" s="43"/>
      <c r="G28" s="43"/>
    </row>
    <row r="29" customFormat="false" ht="18" hidden="false" customHeight="true" outlineLevel="0" collapsed="false">
      <c r="B29" s="44" t="s">
        <v>391</v>
      </c>
      <c r="C29" s="44"/>
      <c r="D29" s="44"/>
      <c r="E29" s="44"/>
      <c r="F29" s="44"/>
      <c r="G29" s="44"/>
    </row>
    <row r="30" customFormat="false" ht="18" hidden="false" customHeight="true" outlineLevel="0" collapsed="false">
      <c r="B30" s="45" t="s">
        <v>392</v>
      </c>
      <c r="C30" s="45"/>
      <c r="D30" s="45"/>
      <c r="E30" s="45"/>
      <c r="F30" s="45"/>
      <c r="G30" s="45"/>
    </row>
    <row r="31" customFormat="false" ht="18" hidden="false" customHeight="true" outlineLevel="0" collapsed="false">
      <c r="B31" s="44" t="s">
        <v>393</v>
      </c>
      <c r="C31" s="44"/>
      <c r="D31" s="44"/>
      <c r="E31" s="44"/>
      <c r="F31" s="44"/>
      <c r="G31" s="44"/>
    </row>
    <row r="32" customFormat="false" ht="18" hidden="false" customHeight="true" outlineLevel="0" collapsed="false">
      <c r="B32" s="45" t="s">
        <v>394</v>
      </c>
      <c r="C32" s="45"/>
      <c r="D32" s="45"/>
      <c r="E32" s="45"/>
      <c r="F32" s="45"/>
      <c r="G32" s="45"/>
    </row>
    <row r="33" customFormat="false" ht="18" hidden="false" customHeight="true" outlineLevel="0" collapsed="false">
      <c r="B33" s="44" t="s">
        <v>395</v>
      </c>
      <c r="C33" s="44"/>
      <c r="D33" s="44"/>
      <c r="E33" s="44"/>
      <c r="F33" s="44"/>
      <c r="G33" s="44"/>
    </row>
  </sheetData>
  <mergeCells count="23">
    <mergeCell ref="B1:G1"/>
    <mergeCell ref="B3:G3"/>
    <mergeCell ref="B7:G7"/>
    <mergeCell ref="B12:G12"/>
    <mergeCell ref="C14:G14"/>
    <mergeCell ref="C15:G15"/>
    <mergeCell ref="C16:G16"/>
    <mergeCell ref="C17:G17"/>
    <mergeCell ref="C18:G18"/>
    <mergeCell ref="C19:G19"/>
    <mergeCell ref="C20:G20"/>
    <mergeCell ref="C21:G21"/>
    <mergeCell ref="C22:G22"/>
    <mergeCell ref="C23:G23"/>
    <mergeCell ref="C24:G24"/>
    <mergeCell ref="C25:G25"/>
    <mergeCell ref="C26:G26"/>
    <mergeCell ref="B28:G28"/>
    <mergeCell ref="B29:G29"/>
    <mergeCell ref="B30:G30"/>
    <mergeCell ref="B31:G31"/>
    <mergeCell ref="B32:G32"/>
    <mergeCell ref="B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2026-04-17T17:23:41Z</dcterms:created>
  <dc:creator>openpyxl</dc:creator>
  <dc:description/>
  <dc:language>en-US</dc:language>
  <cp:lastModifiedBy/>
  <dcterms:modified xsi:type="dcterms:W3CDTF">2026-04-17T17:23:41Z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