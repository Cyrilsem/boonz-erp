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Machine" sheetId="2" state="visible" r:id="rId4"/>
    <sheet name="VML-1004 Daily" sheetId="3" state="visible" r:id="rId5"/>
    <sheet name="Defaults Detail" sheetId="4" state="visible" r:id="rId6"/>
    <sheet name="Unmatched Weimi" sheetId="5" state="visible" r:id="rId7"/>
    <sheet name="Notes" sheetId="6" state="visible" r:id="rId8"/>
  </sheets>
  <definedNames>
    <definedName function="false" hidden="true" localSheetId="3" name="_xlnm._FilterDatabase" vbProcedure="false">'Defaults Detail'!$A$4:$Q$98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<sst xmlns="http://schemas.openxmlformats.org/spreadsheetml/2006/main" count="1622" uniqueCount="786">
  <si>
    <t xml:space="preserve">Weimi vs Adyen Reconciliation — 2026 (Jan 1 – Apr 15)</t>
  </si>
  <si>
    <t xml:space="preserve">Generated: 2026-04-17  •  Match key: Weimi internal_txn_sn (stripped of _N suffix) → Adyen merchant_reference</t>
  </si>
  <si>
    <t xml:space="preserve">Top-level totals — new lens (Weimi total vs Adyen captured)</t>
  </si>
  <si>
    <t xml:space="preserve">Metric</t>
  </si>
  <si>
    <t xml:space="preserve">Txns</t>
  </si>
  <si>
    <t xml:space="preserve">AED</t>
  </si>
  <si>
    <t xml:space="preserve">% of Weimi total</t>
  </si>
  <si>
    <t xml:space="preserve">Notes</t>
  </si>
  <si>
    <t xml:space="preserve">Weimi txns (distinct card auths, 2026-01-01 → 2026-04-15)</t>
  </si>
  <si>
    <t xml:space="preserve">After stripping _N suffix; TZ-corrected to Dubai</t>
  </si>
  <si>
    <t xml:space="preserve">Weimi paid (after any at-pump adjustment)</t>
  </si>
  <si>
    <t xml:space="preserve">Delta vs total is Weimi's multi-line allocation quirk, not a member discount</t>
  </si>
  <si>
    <t xml:space="preserve">Adyen SettledBulk captured (matched rows)</t>
  </si>
  <si>
    <t xml:space="preserve">1:1 on merchant_reference</t>
  </si>
  <si>
    <t xml:space="preserve">Matched to Adyen</t>
  </si>
  <si>
    <t xml:space="preserve">Fraction of Weimi txns with an Adyen SettledBulk counterpart</t>
  </si>
  <si>
    <t xml:space="preserve">Unmatched (no Adyen SettledBulk)</t>
  </si>
  <si>
    <t xml:space="preserve">Cancelled / Refunded / Expired / April 8–15 cutoff</t>
  </si>
  <si>
    <t xml:space="preserve">Defaults &amp; Increments (apples-to-apples)</t>
  </si>
  <si>
    <t xml:space="preserve">Defaults  (Weimi total − Adyen captured, positive only)</t>
  </si>
  <si>
    <t xml:space="preserve">Shortfall: machine invoiced more than Adyen captured (refunds, cancels, at-pump adjustments, cutoff)</t>
  </si>
  <si>
    <t xml:space="preserve">Increments (Adyen captured − Weimi total, positive only)</t>
  </si>
  <si>
    <t xml:space="preserve">Overcharge: Adyen captured more than the shelf price (rare — 1 txn this year)</t>
  </si>
  <si>
    <t xml:space="preserve">Net (Weimi total − Adyen captured)</t>
  </si>
  <si>
    <t xml:space="preserve">Defaults minus Increments</t>
  </si>
  <si>
    <t xml:space="preserve">Memo: Weimi total − Weimi paid</t>
  </si>
  <si>
    <t xml:space="preserve">Weimi's internal line-item allocation (paid zeroed on extra cart lines) — NOT a member discount</t>
  </si>
  <si>
    <t xml:space="preserve">Key findings</t>
  </si>
  <si>
    <t xml:space="preserve">1. Defaults (1,432.73 AED) = 1.73% of Weimi total. Concentrated in a handful of machines: VOXMCC-1011 (254), USH-1008 (222), LLFP_2006 (160), VOXMCC-1017 (123), ALJLT-1015-0200 (107).</t>
  </si>
  <si>
    <t xml:space="preserve">2. Increments are essentially zero (4.75 AED, one txn on ACTIVATEMCC-1010) — Adyen almost never captures more than Weimi's shelf price.</t>
  </si>
  <si>
    <t xml:space="preserve">3. Of the 579 unmatched Weimi txns, most are legitimately Cancelled/Refused in Adyen. These are counted as Defaults because Adyen never captured them.</t>
  </si>
  <si>
    <t xml:space="preserve">4. Weimi total ≠ Weimi paid: the 679.81 AED delta is Weimi's line-item bookkeeping quirk, not a member discount. In 2026 the member_discount_amount column is 0 for every row.</t>
  </si>
  <si>
    <t xml:space="preserve">5. ADDMIND-1007 and USH-1008 are twin devices (one card auth delivers to both). Defaults on USH are legitimately higher because several sold-but-not-captured txns attribute there.</t>
  </si>
  <si>
    <t xml:space="preserve">Per-machine reconciliation (txn-ID matched) — Weimi total vs Adyen captured</t>
  </si>
  <si>
    <t xml:space="preserve">Defaults = Weimi total − Adyen captured (when positive).  Increment = Adyen captured − Weimi total (when positive).</t>
  </si>
  <si>
    <t xml:space="preserve">Machine</t>
  </si>
  <si>
    <t xml:space="preserve">Weimi txns</t>
  </si>
  <si>
    <t xml:space="preserve">Matched</t>
  </si>
  <si>
    <t xml:space="preserve">Weimi total (AED)</t>
  </si>
  <si>
    <t xml:space="preserve">Weimi paid (AED)</t>
  </si>
  <si>
    <t xml:space="preserve">Adyen captured (AED)</t>
  </si>
  <si>
    <t xml:space="preserve">Defaults (AED)</t>
  </si>
  <si>
    <t xml:space="preserve">Increment (AED)</t>
  </si>
  <si>
    <t xml:space="preserve">Net (Total − Captured)</t>
  </si>
  <si>
    <t xml:space="preserve">ACTIVATEMCC-1010-0000-L0</t>
  </si>
  <si>
    <t xml:space="preserve">ACTIVATEMCC-1023-0000-M0</t>
  </si>
  <si>
    <t xml:space="preserve">ACTIVATEMCC-1024-0000-R0</t>
  </si>
  <si>
    <t xml:space="preserve">ADDMIND-1007-0000-W0</t>
  </si>
  <si>
    <t xml:space="preserve">ALHQ-1016-0000-O1</t>
  </si>
  <si>
    <t xml:space="preserve">ALJLT-1014-0200-O1</t>
  </si>
  <si>
    <t xml:space="preserve">ALJLT-1015-0100-B1</t>
  </si>
  <si>
    <t xml:space="preserve">ALJLT-1015-0200-O1</t>
  </si>
  <si>
    <t xml:space="preserve">GRIT-1022-0100-W0</t>
  </si>
  <si>
    <t xml:space="preserve">HUAWEI-2003-0000-B1</t>
  </si>
  <si>
    <t xml:space="preserve">JET-1016-0000-O1</t>
  </si>
  <si>
    <t xml:space="preserve">JET-2001-3000-O1</t>
  </si>
  <si>
    <t xml:space="preserve">LLFP_2005_0000_L0</t>
  </si>
  <si>
    <t xml:space="preserve">LLFP_2006_0000_C0</t>
  </si>
  <si>
    <t xml:space="preserve">LLFP_2007_0000_R0</t>
  </si>
  <si>
    <t xml:space="preserve">MC-2004-0100-O1</t>
  </si>
  <si>
    <t xml:space="preserve">MINDSHARE-1009-4500-O1</t>
  </si>
  <si>
    <t xml:space="preserve">MPMCC_2005_0000_L0</t>
  </si>
  <si>
    <t xml:space="preserve">NOOK-1019-0200-B1</t>
  </si>
  <si>
    <t xml:space="preserve">OMDBB-1020-0P00-O1</t>
  </si>
  <si>
    <t xml:space="preserve">OMDCW-1021-0100-W0</t>
  </si>
  <si>
    <t xml:space="preserve">USH-1008-0000-W1</t>
  </si>
  <si>
    <t xml:space="preserve">VML-1003-0400-O1</t>
  </si>
  <si>
    <t xml:space="preserve">VML-1004-0500-O1</t>
  </si>
  <si>
    <t xml:space="preserve">VOXMCC-1009-0201-B0</t>
  </si>
  <si>
    <t xml:space="preserve">VOXMCC-1011-0101-B0</t>
  </si>
  <si>
    <t xml:space="preserve">VOXMCC-1012-0100-V0</t>
  </si>
  <si>
    <t xml:space="preserve">VOXMCC-1017-0200-V0</t>
  </si>
  <si>
    <t xml:space="preserve">VOXMM-1009-0100-V0</t>
  </si>
  <si>
    <t xml:space="preserve">VOXMM-1013-0101-B0</t>
  </si>
  <si>
    <t xml:space="preserve">WAVEMAKER-1006-4100-O1</t>
  </si>
  <si>
    <t xml:space="preserve">WH1-2002-0000-W0</t>
  </si>
  <si>
    <t xml:space="preserve">WPP-1002-4300-O1</t>
  </si>
  <si>
    <t xml:space="preserve">TOTAL</t>
  </si>
  <si>
    <t xml:space="preserve">VML-1004-0500-O1 — Daily reconciliation (Dubai dates, TZ-corrected)</t>
  </si>
  <si>
    <t xml:space="preserve">Dubai date</t>
  </si>
  <si>
    <t xml:space="preserve">2026-01-02</t>
  </si>
  <si>
    <t xml:space="preserve">2026-01-05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</si>
  <si>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</si>
  <si>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</si>
  <si>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</si>
  <si>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</si>
  <si>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</si>
  <si>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</si>
  <si>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</si>
  <si>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</si>
  <si>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</si>
  <si>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</si>
  <si>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</si>
  <si>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</si>
  <si>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</si>
  <si>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</si>
  <si>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</si>
  <si>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</si>
  <si>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</si>
  <si>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</si>
  <si>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</si>
  <si>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</si>
  <si>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</si>
  <si>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</si>
  <si>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</si>
  <si>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</si>
  <si>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</si>
  <si>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</si>
  <si>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</si>
  <si>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</si>
  <si>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</si>
  <si>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</si>
  <si>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</si>
  <si>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</si>
  <si>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</si>
  <si>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</si>
  <si>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</si>
  <si>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</si>
  <si>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</si>
  <si>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</si>
  <si>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</si>
  <si>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</si>
  <si>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</si>
  <si>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</si>
  <si>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</si>
  <si>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</si>
  <si>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</si>
  <si>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</si>
  <si>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</si>
  <si>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2026-03-16</t>
  </si>
  <si>
    <t xml:space="preserve">2026-03-17</t>
  </si>
  <si>
    <t xml:space="preserve">2026-03-18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</si>
  <si>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</si>
  <si>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</si>
  <si>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</si>
  <si>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</si>
  <si>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</si>
  <si>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</si>
  <si>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</si>
  <si>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</si>
  <si>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</si>
  <si>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</si>
  <si>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</si>
  <si>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</si>
  <si>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</si>
  <si>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</si>
  <si>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</si>
  <si>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</si>
  <si>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</si>
  <si>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Defaults detail — every base txn where Weimi total &gt; Adyen captured (2026 YTD through Apr 15)</t>
  </si>
  <si>
    <t xml:space="preserve">Card ID = BIN (first 6) • last 4.  Same Card ID across rows = same physical card.  Yellow highlight = repeat card.</t>
  </si>
  <si>
    <t xml:space="preserve">Dubai time</t>
  </si>
  <si>
    <t xml:space="preserve">Base txn</t>
  </si>
  <si>
    <t xml:space="preserve">Items</t>
  </si>
  <si>
    <t xml:space="preserve">Gap (AED)</t>
  </si>
  <si>
    <t xml:space="preserve">Reason</t>
  </si>
  <si>
    <t xml:space="preserve">Card ID</t>
  </si>
  <si>
    <t xml:space="preserve">BIN</t>
  </si>
  <si>
    <t xml:space="preserve">Last 4</t>
  </si>
  <si>
    <t xml:space="preserve">Scheme</t>
  </si>
  <si>
    <t xml:space="preserve">Funding</t>
  </si>
  <si>
    <t xml:space="preserve">Issuer</t>
  </si>
  <si>
    <t xml:space="preserve">Country</t>
  </si>
  <si>
    <t xml:space="preserve">Wallet</t>
  </si>
  <si>
    <t xml:space="preserve">Products</t>
  </si>
  <si>
    <t xml:space="preserve">2026-04-04 18:45:34</t>
  </si>
  <si>
    <t xml:space="preserve">821607951775313844016</t>
  </si>
  <si>
    <t xml:space="preserve">Partial capture — Adyen: SettledBulk</t>
  </si>
  <si>
    <t xml:space="preserve">534794•2987</t>
  </si>
  <si>
    <t xml:space="preserve">534794</t>
  </si>
  <si>
    <t xml:space="preserve">2987</t>
  </si>
  <si>
    <t xml:space="preserve">Mastercard</t>
  </si>
  <si>
    <t xml:space="preserve">DEBIT</t>
  </si>
  <si>
    <t xml:space="preserve">FIRST ABU DHABI BANK PJSC</t>
  </si>
  <si>
    <t xml:space="preserve">AE</t>
  </si>
  <si>
    <t xml:space="preserve">Apple Pay (MC)</t>
  </si>
  <si>
    <t xml:space="preserve">Aquafina; Chocolate Bar; Ice Tea; M&amp;M Chocolate Bag; Maltesers Chocolate Bag; Nutella Biscuits T12; Pepsi Black; Pepsi Regular; Skittles Bag</t>
  </si>
  <si>
    <t xml:space="preserve">2026-04-03 15:49:49</t>
  </si>
  <si>
    <t xml:space="preserve">821608031775216929079</t>
  </si>
  <si>
    <t xml:space="preserve">Auth not captured — Adyen: RefundedBulk</t>
  </si>
  <si>
    <t xml:space="preserve">547187•8720</t>
  </si>
  <si>
    <t xml:space="preserve">547187</t>
  </si>
  <si>
    <t xml:space="preserve">8720</t>
  </si>
  <si>
    <t xml:space="preserve">CREDIT</t>
  </si>
  <si>
    <t xml:space="preserve">Samsung Pay (MC)</t>
  </si>
  <si>
    <t xml:space="preserve">VOX Cotton Candy</t>
  </si>
  <si>
    <t xml:space="preserve">2026-03-23 13:30:28</t>
  </si>
  <si>
    <t xml:space="preserve">821608061774258191551</t>
  </si>
  <si>
    <t xml:space="preserve">442771•9569</t>
  </si>
  <si>
    <t xml:space="preserve">442771</t>
  </si>
  <si>
    <t xml:space="preserve">9569</t>
  </si>
  <si>
    <t xml:space="preserve">Visa</t>
  </si>
  <si>
    <t xml:space="preserve">HSBC BANK MIDDLE EAST</t>
  </si>
  <si>
    <t xml:space="preserve">Apple Pay (Visa)</t>
  </si>
  <si>
    <t xml:space="preserve">Activia Mix &amp; Go; McVities Digestive Nibbles</t>
  </si>
  <si>
    <t xml:space="preserve">2026-02-22 23:42:53</t>
  </si>
  <si>
    <t xml:space="preserve">821608011771789322409</t>
  </si>
  <si>
    <t xml:space="preserve">444439•8093</t>
  </si>
  <si>
    <t xml:space="preserve">444439</t>
  </si>
  <si>
    <t xml:space="preserve">8093</t>
  </si>
  <si>
    <t xml:space="preserve">EMIRATES NBD BANK (P.J.S.C.)</t>
  </si>
  <si>
    <t xml:space="preserve">VOX Cotton Candy; VOX Lollies</t>
  </si>
  <si>
    <t xml:space="preserve">2026-04-06 00:29:47</t>
  </si>
  <si>
    <t xml:space="preserve">821608031775420863700</t>
  </si>
  <si>
    <t xml:space="preserve">545836•8670</t>
  </si>
  <si>
    <t xml:space="preserve">545836</t>
  </si>
  <si>
    <t xml:space="preserve">8670</t>
  </si>
  <si>
    <t xml:space="preserve">DIGITAL FINANCIAL SERVICES LLC</t>
  </si>
  <si>
    <t xml:space="preserve">VOX Popcorn Caramel; VOX Popcorn Salt</t>
  </si>
  <si>
    <t xml:space="preserve">2026-03-18 18:39:28</t>
  </si>
  <si>
    <t xml:space="preserve">821608061773844721146</t>
  </si>
  <si>
    <t xml:space="preserve">446237•8750</t>
  </si>
  <si>
    <t xml:space="preserve">446237</t>
  </si>
  <si>
    <t xml:space="preserve">8750</t>
  </si>
  <si>
    <t xml:space="preserve">ARAB BANK PLC</t>
  </si>
  <si>
    <t xml:space="preserve">McVities Digestive Nibbles</t>
  </si>
  <si>
    <t xml:space="preserve">2026-03-12 15:43:03</t>
  </si>
  <si>
    <t xml:space="preserve">821608061773315763548</t>
  </si>
  <si>
    <t xml:space="preserve">2026-03-11 15:20:59</t>
  </si>
  <si>
    <t xml:space="preserve">821608061773228034376</t>
  </si>
  <si>
    <t xml:space="preserve">2026-02-14 16:46:37</t>
  </si>
  <si>
    <t xml:space="preserve">821608181771073171852</t>
  </si>
  <si>
    <t xml:space="preserve">442845•3115</t>
  </si>
  <si>
    <t xml:space="preserve">442845</t>
  </si>
  <si>
    <t xml:space="preserve">3115</t>
  </si>
  <si>
    <t xml:space="preserve">Samsung Pay (Visa)</t>
  </si>
  <si>
    <t xml:space="preserve">Tannourine Water</t>
  </si>
  <si>
    <t xml:space="preserve">2026-03-20 20:32:27</t>
  </si>
  <si>
    <t xml:space="preserve">821608041774024298987</t>
  </si>
  <si>
    <t xml:space="preserve">412750•9621</t>
  </si>
  <si>
    <t xml:space="preserve">412750</t>
  </si>
  <si>
    <t xml:space="preserve">9621</t>
  </si>
  <si>
    <t xml:space="preserve">Chocolate Bar; Nescafe Ice Coffee; Snack Bar</t>
  </si>
  <si>
    <t xml:space="preserve">2026-01-25 13:06:14</t>
  </si>
  <si>
    <t xml:space="preserve">821608121769345824353</t>
  </si>
  <si>
    <t xml:space="preserve">436534•0131</t>
  </si>
  <si>
    <t xml:space="preserve">436534</t>
  </si>
  <si>
    <t xml:space="preserve">0131</t>
  </si>
  <si>
    <t xml:space="preserve">ICICI BANK LTD</t>
  </si>
  <si>
    <t xml:space="preserve">IN</t>
  </si>
  <si>
    <t xml:space="preserve">Vitamin Well</t>
  </si>
  <si>
    <t xml:space="preserve">2026-02-14 16:40:57</t>
  </si>
  <si>
    <t xml:space="preserve">821608181771072828735</t>
  </si>
  <si>
    <t xml:space="preserve">438912•1678</t>
  </si>
  <si>
    <t xml:space="preserve">438912</t>
  </si>
  <si>
    <t xml:space="preserve">1678</t>
  </si>
  <si>
    <t xml:space="preserve">Popit Mix; Tannourine Water</t>
  </si>
  <si>
    <t xml:space="preserve">2026-02-14 17:08:29</t>
  </si>
  <si>
    <t xml:space="preserve">821608181771074456894</t>
  </si>
  <si>
    <t xml:space="preserve">Almarai Farm Select Juice Mix; Sun Blast Juice; Tannourine Water</t>
  </si>
  <si>
    <t xml:space="preserve">2026-02-14 16:40:35</t>
  </si>
  <si>
    <t xml:space="preserve">821608181771072807537</t>
  </si>
  <si>
    <t xml:space="preserve">2026-04-15 15:32:28</t>
  </si>
  <si>
    <t xml:space="preserve">821608091776252709142</t>
  </si>
  <si>
    <t xml:space="preserve">435707•3403</t>
  </si>
  <si>
    <t xml:space="preserve">435707</t>
  </si>
  <si>
    <t xml:space="preserve">3403</t>
  </si>
  <si>
    <t xml:space="preserve">COMMERCIAL BANK OF DUBAI(PSC)</t>
  </si>
  <si>
    <t xml:space="preserve">2026-03-10 11:18:18</t>
  </si>
  <si>
    <t xml:space="preserve">260310000029</t>
  </si>
  <si>
    <t xml:space="preserve">Non-card (member/wallet) — no Adyen row</t>
  </si>
  <si>
    <t xml:space="preserve">Nescafe Ice Coffee</t>
  </si>
  <si>
    <t xml:space="preserve">2026-02-25 00:59:24</t>
  </si>
  <si>
    <t xml:space="preserve">821607991771966702473</t>
  </si>
  <si>
    <t xml:space="preserve">475051•8790</t>
  </si>
  <si>
    <t xml:space="preserve">475051</t>
  </si>
  <si>
    <t xml:space="preserve">8790</t>
  </si>
  <si>
    <t xml:space="preserve">WISE PAYMENTS LIMITED</t>
  </si>
  <si>
    <t xml:space="preserve">GB</t>
  </si>
  <si>
    <t xml:space="preserve">Santiveri</t>
  </si>
  <si>
    <t xml:space="preserve">2026-02-14 17:38:44</t>
  </si>
  <si>
    <t xml:space="preserve">821608171771076271865</t>
  </si>
  <si>
    <t xml:space="preserve">515537•2409</t>
  </si>
  <si>
    <t xml:space="preserve">515537</t>
  </si>
  <si>
    <t xml:space="preserve">2409</t>
  </si>
  <si>
    <t xml:space="preserve">EMIRATES NBD</t>
  </si>
  <si>
    <t xml:space="preserve">2026-02-11 16:13:29</t>
  </si>
  <si>
    <t xml:space="preserve">821607941770811986472</t>
  </si>
  <si>
    <t xml:space="preserve">415868•6192</t>
  </si>
  <si>
    <t xml:space="preserve">415868</t>
  </si>
  <si>
    <t xml:space="preserve">6192</t>
  </si>
  <si>
    <t xml:space="preserve">Chocolate Bar; Dubai Popcorn; Loacker</t>
  </si>
  <si>
    <t xml:space="preserve">2026-04-07 17:06:19</t>
  </si>
  <si>
    <t xml:space="preserve">821608031775567147973</t>
  </si>
  <si>
    <t xml:space="preserve">534993•5423</t>
  </si>
  <si>
    <t xml:space="preserve">534993</t>
  </si>
  <si>
    <t xml:space="preserve">5423</t>
  </si>
  <si>
    <t xml:space="preserve">NETWORK INTERNATIONAL LLC</t>
  </si>
  <si>
    <t xml:space="preserve">2026-03-22 23:01:58</t>
  </si>
  <si>
    <t xml:space="preserve">821607971774206078375</t>
  </si>
  <si>
    <t xml:space="preserve">478469•8154</t>
  </si>
  <si>
    <t xml:space="preserve">478469</t>
  </si>
  <si>
    <t xml:space="preserve">8154</t>
  </si>
  <si>
    <t xml:space="preserve">ABU DHABI ISLAMIC BANK</t>
  </si>
  <si>
    <t xml:space="preserve">Chocolate Bar; Maltesers Chocolate Bag</t>
  </si>
  <si>
    <t xml:space="preserve">2026-04-10 15:43:48</t>
  </si>
  <si>
    <t xml:space="preserve">821607961775821401769</t>
  </si>
  <si>
    <t xml:space="preserve">537215•4182</t>
  </si>
  <si>
    <t xml:space="preserve">537215</t>
  </si>
  <si>
    <t xml:space="preserve">4182</t>
  </si>
  <si>
    <t xml:space="preserve">AL HILAL BANK PJSC</t>
  </si>
  <si>
    <t xml:space="preserve">VOX Lollies</t>
  </si>
  <si>
    <t xml:space="preserve">2026-04-14 21:11:32</t>
  </si>
  <si>
    <t xml:space="preserve">821607991776186667068</t>
  </si>
  <si>
    <t xml:space="preserve">549211•0565</t>
  </si>
  <si>
    <t xml:space="preserve">549211</t>
  </si>
  <si>
    <t xml:space="preserve">0565</t>
  </si>
  <si>
    <t xml:space="preserve">WIO BANK P.J.S.C</t>
  </si>
  <si>
    <t xml:space="preserve">Nescafe Ice Coffee; Tamreem Dried Freeze Fruits</t>
  </si>
  <si>
    <t xml:space="preserve">2026-04-12 10:50:45</t>
  </si>
  <si>
    <t xml:space="preserve">821608121775976599173</t>
  </si>
  <si>
    <t xml:space="preserve">537214•0743</t>
  </si>
  <si>
    <t xml:space="preserve">537214</t>
  </si>
  <si>
    <t xml:space="preserve">0743</t>
  </si>
  <si>
    <t xml:space="preserve">ING BANK N.V.</t>
  </si>
  <si>
    <t xml:space="preserve">NL</t>
  </si>
  <si>
    <t xml:space="preserve">Barebells; Vitamin Well</t>
  </si>
  <si>
    <t xml:space="preserve">2026-02-10 13:30:11</t>
  </si>
  <si>
    <t xml:space="preserve">821607941770715775795</t>
  </si>
  <si>
    <t xml:space="preserve">454793•6670</t>
  </si>
  <si>
    <t xml:space="preserve">454793</t>
  </si>
  <si>
    <t xml:space="preserve">6670</t>
  </si>
  <si>
    <t xml:space="preserve">REVOLUT BANK UAB</t>
  </si>
  <si>
    <t xml:space="preserve">SI</t>
  </si>
  <si>
    <t xml:space="preserve">Dubai Popcorn; Krambals &amp; Zigi</t>
  </si>
  <si>
    <t xml:space="preserve">2026-02-14 16:38:31</t>
  </si>
  <si>
    <t xml:space="preserve">821608181771072684443</t>
  </si>
  <si>
    <t xml:space="preserve">446420•7503</t>
  </si>
  <si>
    <t xml:space="preserve">446420</t>
  </si>
  <si>
    <t xml:space="preserve">7503</t>
  </si>
  <si>
    <t xml:space="preserve">EMIRATES ISLAMIC BANK P.J.S.C.</t>
  </si>
  <si>
    <t xml:space="preserve">2026-02-14 16:11:09</t>
  </si>
  <si>
    <t xml:space="preserve">821608181771071041970</t>
  </si>
  <si>
    <t xml:space="preserve">519616•2365</t>
  </si>
  <si>
    <t xml:space="preserve">519616</t>
  </si>
  <si>
    <t xml:space="preserve">2365</t>
  </si>
  <si>
    <t xml:space="preserve">2026-02-14 14:54:08</t>
  </si>
  <si>
    <t xml:space="preserve">821608201771066411647</t>
  </si>
  <si>
    <t xml:space="preserve">433763•3317</t>
  </si>
  <si>
    <t xml:space="preserve">433763</t>
  </si>
  <si>
    <t xml:space="preserve">3317</t>
  </si>
  <si>
    <t xml:space="preserve">DUBAI ISLAMIC BANK</t>
  </si>
  <si>
    <t xml:space="preserve">2026-02-14 14:22:24</t>
  </si>
  <si>
    <t xml:space="preserve">821608181771064488694</t>
  </si>
  <si>
    <t xml:space="preserve">519616•2873</t>
  </si>
  <si>
    <t xml:space="preserve">2873</t>
  </si>
  <si>
    <t xml:space="preserve">2026-03-24 11:13:28</t>
  </si>
  <si>
    <t xml:space="preserve">821608061774336384237</t>
  </si>
  <si>
    <t xml:space="preserve">435779•5849</t>
  </si>
  <si>
    <t xml:space="preserve">435779</t>
  </si>
  <si>
    <t xml:space="preserve">5849</t>
  </si>
  <si>
    <t xml:space="preserve">2026-03-24 08:50:04</t>
  </si>
  <si>
    <t xml:space="preserve">821608121774327770911</t>
  </si>
  <si>
    <t xml:space="preserve">518027•5657</t>
  </si>
  <si>
    <t xml:space="preserve">518027</t>
  </si>
  <si>
    <t xml:space="preserve">5657</t>
  </si>
  <si>
    <t xml:space="preserve">HSBC UK BANK PLC</t>
  </si>
  <si>
    <t xml:space="preserve">2026-02-27 18:58:26</t>
  </si>
  <si>
    <t xml:space="preserve">821607991772204271176</t>
  </si>
  <si>
    <t xml:space="preserve">549211•2433</t>
  </si>
  <si>
    <t xml:space="preserve">2433</t>
  </si>
  <si>
    <t xml:space="preserve">Google Pay (MC)</t>
  </si>
  <si>
    <t xml:space="preserve">2026-03-10 11:54:03</t>
  </si>
  <si>
    <t xml:space="preserve">260310000057</t>
  </si>
  <si>
    <t xml:space="preserve">2026-01-31 17:38:35</t>
  </si>
  <si>
    <t xml:space="preserve">821608041769866665931</t>
  </si>
  <si>
    <t xml:space="preserve">439082•0003</t>
  </si>
  <si>
    <t xml:space="preserve">439082</t>
  </si>
  <si>
    <t xml:space="preserve">0003</t>
  </si>
  <si>
    <t xml:space="preserve">MASHREQBANK</t>
  </si>
  <si>
    <t xml:space="preserve">Ice Tea; Sabahoo Cake; Snack Bar</t>
  </si>
  <si>
    <t xml:space="preserve">2026-01-30 09:37:57</t>
  </si>
  <si>
    <t xml:space="preserve">821607911767346546413</t>
  </si>
  <si>
    <t xml:space="preserve">Auth not captured — Adyen: Expired</t>
  </si>
  <si>
    <t xml:space="preserve">478679•2875</t>
  </si>
  <si>
    <t xml:space="preserve">478679</t>
  </si>
  <si>
    <t xml:space="preserve">2875</t>
  </si>
  <si>
    <t xml:space="preserve">STATE BANK OF INDIA</t>
  </si>
  <si>
    <t xml:space="preserve">Activia Mix &amp; Go</t>
  </si>
  <si>
    <t xml:space="preserve">2026-03-24 11:12:49</t>
  </si>
  <si>
    <t xml:space="preserve">821608061774336234594</t>
  </si>
  <si>
    <t xml:space="preserve">Krambals; Snack Bar</t>
  </si>
  <si>
    <t xml:space="preserve">2026-01-09 12:48:44</t>
  </si>
  <si>
    <t xml:space="preserve">821607911767962386509</t>
  </si>
  <si>
    <t xml:space="preserve">527494•2059</t>
  </si>
  <si>
    <t xml:space="preserve">527494</t>
  </si>
  <si>
    <t xml:space="preserve">2059</t>
  </si>
  <si>
    <t xml:space="preserve">REVOLUT LTD</t>
  </si>
  <si>
    <t xml:space="preserve">2026-02-17 14:18:16</t>
  </si>
  <si>
    <t xml:space="preserve">821607931771323459617</t>
  </si>
  <si>
    <t xml:space="preserve">432622•8213</t>
  </si>
  <si>
    <t xml:space="preserve">432622</t>
  </si>
  <si>
    <t xml:space="preserve">8213</t>
  </si>
  <si>
    <t xml:space="preserve">Mezzmix Chocolate &amp; Peanut Butter</t>
  </si>
  <si>
    <t xml:space="preserve">2026-02-14 22:52:10</t>
  </si>
  <si>
    <t xml:space="preserve">821608061771095088127</t>
  </si>
  <si>
    <t xml:space="preserve">442771•8785</t>
  </si>
  <si>
    <t xml:space="preserve">8785</t>
  </si>
  <si>
    <t xml:space="preserve">Mezzmix Hummus</t>
  </si>
  <si>
    <t xml:space="preserve">2026-01-28 10:15:22</t>
  </si>
  <si>
    <t xml:space="preserve">821607941769595119156</t>
  </si>
  <si>
    <t xml:space="preserve">438991•2483</t>
  </si>
  <si>
    <t xml:space="preserve">438991</t>
  </si>
  <si>
    <t xml:space="preserve">2483</t>
  </si>
  <si>
    <t xml:space="preserve">Dubai Popcorn; Soft Drinks Mix</t>
  </si>
  <si>
    <t xml:space="preserve">2026-01-20 14:00:26</t>
  </si>
  <si>
    <t xml:space="preserve">821608061768917063506</t>
  </si>
  <si>
    <t xml:space="preserve">446300•0582</t>
  </si>
  <si>
    <t xml:space="preserve">446300</t>
  </si>
  <si>
    <t xml:space="preserve">0582</t>
  </si>
  <si>
    <t xml:space="preserve">2026-02-19 17:40:33</t>
  </si>
  <si>
    <t xml:space="preserve">821607931771508397866</t>
  </si>
  <si>
    <t xml:space="preserve">Auth not captured — Adyen: Cancelled</t>
  </si>
  <si>
    <t xml:space="preserve">559528•567</t>
  </si>
  <si>
    <t xml:space="preserve">559528</t>
  </si>
  <si>
    <t xml:space="preserve">567</t>
  </si>
  <si>
    <t xml:space="preserve">Evian; Snack Bar</t>
  </si>
  <si>
    <t xml:space="preserve">2026-02-06 15:40:15</t>
  </si>
  <si>
    <t xml:space="preserve">821607941770377984970</t>
  </si>
  <si>
    <t xml:space="preserve">450217•5538</t>
  </si>
  <si>
    <t xml:space="preserve">450217</t>
  </si>
  <si>
    <t xml:space="preserve">5538</t>
  </si>
  <si>
    <t xml:space="preserve">Chocolate Bar; Soft Drinks Mix</t>
  </si>
  <si>
    <t xml:space="preserve">2026-02-16 17:41:46</t>
  </si>
  <si>
    <t xml:space="preserve">821608081771249263947</t>
  </si>
  <si>
    <t xml:space="preserve">427106•0186</t>
  </si>
  <si>
    <t xml:space="preserve">427106</t>
  </si>
  <si>
    <t xml:space="preserve">0186</t>
  </si>
  <si>
    <t xml:space="preserve">NYMCARD PAYMENT SERVICES L.L.C.</t>
  </si>
  <si>
    <t xml:space="preserve">Chocolate Bar</t>
  </si>
  <si>
    <t xml:space="preserve">2026-03-03 17:39:20</t>
  </si>
  <si>
    <t xml:space="preserve">821608091772545143945</t>
  </si>
  <si>
    <t xml:space="preserve">421755•4706</t>
  </si>
  <si>
    <t xml:space="preserve">421755</t>
  </si>
  <si>
    <t xml:space="preserve">4706</t>
  </si>
  <si>
    <t xml:space="preserve">FR</t>
  </si>
  <si>
    <t xml:space="preserve">YoPRO</t>
  </si>
  <si>
    <t xml:space="preserve">2026-02-17 14:38:41</t>
  </si>
  <si>
    <t xml:space="preserve">821607911771324687296</t>
  </si>
  <si>
    <t xml:space="preserve">438912•9294</t>
  </si>
  <si>
    <t xml:space="preserve">9294</t>
  </si>
  <si>
    <t xml:space="preserve">Popit Mix</t>
  </si>
  <si>
    <t xml:space="preserve">2026-04-01 21:50:10</t>
  </si>
  <si>
    <t xml:space="preserve">821607971775065731395</t>
  </si>
  <si>
    <t xml:space="preserve">537251•7145</t>
  </si>
  <si>
    <t xml:space="preserve">537251</t>
  </si>
  <si>
    <t xml:space="preserve">7145</t>
  </si>
  <si>
    <t xml:space="preserve">Skittles Bag</t>
  </si>
  <si>
    <t xml:space="preserve">2026-04-13 18:28:53</t>
  </si>
  <si>
    <t xml:space="preserve">821608081776090487513</t>
  </si>
  <si>
    <t xml:space="preserve">546771•3762</t>
  </si>
  <si>
    <t xml:space="preserve">546771</t>
  </si>
  <si>
    <t xml:space="preserve">3762</t>
  </si>
  <si>
    <t xml:space="preserve">2026-04-11 17:00:44</t>
  </si>
  <si>
    <t xml:space="preserve">821607991775912416170</t>
  </si>
  <si>
    <t xml:space="preserve">Krambals</t>
  </si>
  <si>
    <t xml:space="preserve">2026-02-25 14:08:40</t>
  </si>
  <si>
    <t xml:space="preserve">821607911772014089244</t>
  </si>
  <si>
    <t xml:space="preserve">2026-01-02 19:11:01</t>
  </si>
  <si>
    <t xml:space="preserve">821607911767352232007</t>
  </si>
  <si>
    <t xml:space="preserve">2026-02-04 20:30:17</t>
  </si>
  <si>
    <t xml:space="preserve">821608161770222587980</t>
  </si>
  <si>
    <t xml:space="preserve">533241•6019</t>
  </si>
  <si>
    <t xml:space="preserve">533241</t>
  </si>
  <si>
    <t xml:space="preserve">6019</t>
  </si>
  <si>
    <t xml:space="preserve">Almarai Farm Select Juice Pomegranate</t>
  </si>
  <si>
    <t xml:space="preserve">2026-02-01 14:03:53</t>
  </si>
  <si>
    <t xml:space="preserve">821608041769940192323</t>
  </si>
  <si>
    <t xml:space="preserve">2026-03-10 11:53:12</t>
  </si>
  <si>
    <t xml:space="preserve">260310000055</t>
  </si>
  <si>
    <t xml:space="preserve">2026-03-10 11:32:38</t>
  </si>
  <si>
    <t xml:space="preserve">260310000048</t>
  </si>
  <si>
    <t xml:space="preserve">2026-03-10 11:22:57</t>
  </si>
  <si>
    <t xml:space="preserve">260310000032</t>
  </si>
  <si>
    <t xml:space="preserve">2026-01-03 07:22:37</t>
  </si>
  <si>
    <t xml:space="preserve">821608061767396115993</t>
  </si>
  <si>
    <t xml:space="preserve">532989•2009</t>
  </si>
  <si>
    <t xml:space="preserve">532989</t>
  </si>
  <si>
    <t xml:space="preserve">2009</t>
  </si>
  <si>
    <t xml:space="preserve">2026-02-08 04:11:37</t>
  </si>
  <si>
    <t xml:space="preserve">821608061770509472567</t>
  </si>
  <si>
    <t xml:space="preserve">537216•9752</t>
  </si>
  <si>
    <t xml:space="preserve">537216</t>
  </si>
  <si>
    <t xml:space="preserve">9752</t>
  </si>
  <si>
    <t xml:space="preserve">MONZO BANK LIMITED</t>
  </si>
  <si>
    <t xml:space="preserve">Hunter</t>
  </si>
  <si>
    <t xml:space="preserve">2026-04-04 23:59:57</t>
  </si>
  <si>
    <t xml:space="preserve">821607951775332559717</t>
  </si>
  <si>
    <t xml:space="preserve">545836•1602</t>
  </si>
  <si>
    <t xml:space="preserve">1602</t>
  </si>
  <si>
    <t xml:space="preserve">ABU DHABI COMMERCIAL BANK</t>
  </si>
  <si>
    <t xml:space="preserve">Aquafina; Chocolate Bar</t>
  </si>
  <si>
    <t xml:space="preserve">2026-02-28 17:59:23</t>
  </si>
  <si>
    <t xml:space="preserve">821607991772287125507</t>
  </si>
  <si>
    <t xml:space="preserve">415231•0054</t>
  </si>
  <si>
    <t xml:space="preserve">415231</t>
  </si>
  <si>
    <t xml:space="preserve">0054</t>
  </si>
  <si>
    <t xml:space="preserve">BBVA MEXICO S.A.</t>
  </si>
  <si>
    <t xml:space="preserve">MX</t>
  </si>
  <si>
    <t xml:space="preserve">Pepsi Black</t>
  </si>
  <si>
    <t xml:space="preserve">2026-02-17 16:16:12</t>
  </si>
  <si>
    <t xml:space="preserve">821607941771330543174</t>
  </si>
  <si>
    <t xml:space="preserve">438991•7121</t>
  </si>
  <si>
    <t xml:space="preserve">7121</t>
  </si>
  <si>
    <t xml:space="preserve">Google Pay (Visa)</t>
  </si>
  <si>
    <t xml:space="preserve">Dubai Popcorn</t>
  </si>
  <si>
    <t xml:space="preserve">2026-03-06 05:52:17</t>
  </si>
  <si>
    <t xml:space="preserve">821608041770642698649</t>
  </si>
  <si>
    <t xml:space="preserve">443913•8293</t>
  </si>
  <si>
    <t xml:space="preserve">443913</t>
  </si>
  <si>
    <t xml:space="preserve">8293</t>
  </si>
  <si>
    <t xml:space="preserve">Activia Mix &amp; Go; Nescafe Ice Coffee</t>
  </si>
  <si>
    <t xml:space="preserve">2026-01-27 04:32:20</t>
  </si>
  <si>
    <t xml:space="preserve">821608191769488329477</t>
  </si>
  <si>
    <t xml:space="preserve">440350•0022</t>
  </si>
  <si>
    <t xml:space="preserve">440350</t>
  </si>
  <si>
    <t xml:space="preserve">0022</t>
  </si>
  <si>
    <t xml:space="preserve">Sabahoo Cake</t>
  </si>
  <si>
    <t xml:space="preserve">2026-02-24 15:09:03</t>
  </si>
  <si>
    <t xml:space="preserve">821608111771931317421</t>
  </si>
  <si>
    <t xml:space="preserve">549211•8689</t>
  </si>
  <si>
    <t xml:space="preserve">8689</t>
  </si>
  <si>
    <t xml:space="preserve">2026-02-04 20:19:49</t>
  </si>
  <si>
    <t xml:space="preserve">821608161770221955657</t>
  </si>
  <si>
    <t xml:space="preserve">2026-02-04 20:14:59</t>
  </si>
  <si>
    <t xml:space="preserve">821608161770221670442</t>
  </si>
  <si>
    <t xml:space="preserve">2026-04-04 23:17:51</t>
  </si>
  <si>
    <t xml:space="preserve">821607951775330212200</t>
  </si>
  <si>
    <t xml:space="preserve">432312•8883</t>
  </si>
  <si>
    <t xml:space="preserve">432312</t>
  </si>
  <si>
    <t xml:space="preserve">8883</t>
  </si>
  <si>
    <t xml:space="preserve">Aquafina; Zigi</t>
  </si>
  <si>
    <t xml:space="preserve">2026-02-14 16:34:30</t>
  </si>
  <si>
    <t xml:space="preserve">821608171771072442503</t>
  </si>
  <si>
    <t xml:space="preserve">537052•3661</t>
  </si>
  <si>
    <t xml:space="preserve">537052</t>
  </si>
  <si>
    <t xml:space="preserve">3661</t>
  </si>
  <si>
    <t xml:space="preserve">AM BANK S.A.L.</t>
  </si>
  <si>
    <t xml:space="preserve">LB</t>
  </si>
  <si>
    <t xml:space="preserve">2026-01-19 06:58:27</t>
  </si>
  <si>
    <t xml:space="preserve">821608151768805468543</t>
  </si>
  <si>
    <t xml:space="preserve">537058•4782</t>
  </si>
  <si>
    <t xml:space="preserve">537058</t>
  </si>
  <si>
    <t xml:space="preserve">4782</t>
  </si>
  <si>
    <t xml:space="preserve">QNB BANK</t>
  </si>
  <si>
    <t xml:space="preserve">TR</t>
  </si>
  <si>
    <t xml:space="preserve">Evian</t>
  </si>
  <si>
    <t xml:space="preserve">2026-04-12 19:29:48</t>
  </si>
  <si>
    <t xml:space="preserve">821607991776007759479</t>
  </si>
  <si>
    <t xml:space="preserve">2026-03-17 14:59:51</t>
  </si>
  <si>
    <t xml:space="preserve">821607991773745173439</t>
  </si>
  <si>
    <t xml:space="preserve">2026-02-27 22:55:05</t>
  </si>
  <si>
    <t xml:space="preserve">821607991772218467729</t>
  </si>
  <si>
    <t xml:space="preserve">439654•8790</t>
  </si>
  <si>
    <t xml:space="preserve">439654</t>
  </si>
  <si>
    <t xml:space="preserve">2026-02-26 22:09:18</t>
  </si>
  <si>
    <t xml:space="preserve">821607991772129314135</t>
  </si>
  <si>
    <t xml:space="preserve">2026-02-26 00:38:04</t>
  </si>
  <si>
    <t xml:space="preserve">821607991772051829177</t>
  </si>
  <si>
    <t xml:space="preserve">2026-02-19 19:46:39</t>
  </si>
  <si>
    <t xml:space="preserve">821608091771515978730</t>
  </si>
  <si>
    <t xml:space="preserve">445845•8568</t>
  </si>
  <si>
    <t xml:space="preserve">445845</t>
  </si>
  <si>
    <t xml:space="preserve">8568</t>
  </si>
  <si>
    <t xml:space="preserve">WISE EUROPE SA/NV</t>
  </si>
  <si>
    <t xml:space="preserve">2026-01-11 16:45:06</t>
  </si>
  <si>
    <t xml:space="preserve">821608041768149633025</t>
  </si>
  <si>
    <t xml:space="preserve">440043•4885</t>
  </si>
  <si>
    <t xml:space="preserve">440043</t>
  </si>
  <si>
    <t xml:space="preserve">4885</t>
  </si>
  <si>
    <t xml:space="preserve">KASPI BANK JSC</t>
  </si>
  <si>
    <t xml:space="preserve">KZ</t>
  </si>
  <si>
    <t xml:space="preserve">Chocolate Bar; Krambals</t>
  </si>
  <si>
    <t xml:space="preserve">2026-01-15 13:35:12</t>
  </si>
  <si>
    <t xml:space="preserve">821607931768483714325</t>
  </si>
  <si>
    <t xml:space="preserve">405602•5253</t>
  </si>
  <si>
    <t xml:space="preserve">405602</t>
  </si>
  <si>
    <t xml:space="preserve">5253</t>
  </si>
  <si>
    <t xml:space="preserve">2026-02-19 12:20:56</t>
  </si>
  <si>
    <t xml:space="preserve">821608111771489233174</t>
  </si>
  <si>
    <t xml:space="preserve">Snack Bar</t>
  </si>
  <si>
    <t xml:space="preserve">2026-03-24 02:35:53</t>
  </si>
  <si>
    <t xml:space="preserve">821607991774305326050</t>
  </si>
  <si>
    <t xml:space="preserve">531780•3036</t>
  </si>
  <si>
    <t xml:space="preserve">531780</t>
  </si>
  <si>
    <t xml:space="preserve">3036</t>
  </si>
  <si>
    <t xml:space="preserve">2026-01-15 08:56:10</t>
  </si>
  <si>
    <t xml:space="preserve">821607911768466913396</t>
  </si>
  <si>
    <t xml:space="preserve">2026-01-13 13:52:30</t>
  </si>
  <si>
    <t xml:space="preserve">821607911768311661329</t>
  </si>
  <si>
    <t xml:space="preserve">2026-01-13 12:38:16</t>
  </si>
  <si>
    <t xml:space="preserve">821607911768307345997</t>
  </si>
  <si>
    <t xml:space="preserve">2026-01-09 02:09:49</t>
  </si>
  <si>
    <t xml:space="preserve">821608041767910142802</t>
  </si>
  <si>
    <t xml:space="preserve">408565•8349</t>
  </si>
  <si>
    <t xml:space="preserve">408565</t>
  </si>
  <si>
    <t xml:space="preserve">8349</t>
  </si>
  <si>
    <t xml:space="preserve">Sabahoo Cake; Snack Bar</t>
  </si>
  <si>
    <t xml:space="preserve">2026-03-26 18:26:58</t>
  </si>
  <si>
    <t xml:space="preserve">821608011774535194518</t>
  </si>
  <si>
    <t xml:space="preserve">444439•5827</t>
  </si>
  <si>
    <t xml:space="preserve">5827</t>
  </si>
  <si>
    <t xml:space="preserve">2026-03-23 14:23:07</t>
  </si>
  <si>
    <t xml:space="preserve">821608101774261356851</t>
  </si>
  <si>
    <t xml:space="preserve">552157•8359</t>
  </si>
  <si>
    <t xml:space="preserve">552157</t>
  </si>
  <si>
    <t xml:space="preserve">8359</t>
  </si>
  <si>
    <t xml:space="preserve">LLOYDS BANK PLC</t>
  </si>
  <si>
    <t xml:space="preserve">Coca Cola Zero</t>
  </si>
  <si>
    <t xml:space="preserve">2026-03-12 01:10:04</t>
  </si>
  <si>
    <t xml:space="preserve">821607991773263378729</t>
  </si>
  <si>
    <t xml:space="preserve">2026-02-20 12:01:10</t>
  </si>
  <si>
    <t xml:space="preserve">821607911771574440225</t>
  </si>
  <si>
    <t xml:space="preserve">2026-01-17 07:05:50</t>
  </si>
  <si>
    <t xml:space="preserve">821608101768552984820</t>
  </si>
  <si>
    <t xml:space="preserve">435779•0182</t>
  </si>
  <si>
    <t xml:space="preserve">0182</t>
  </si>
  <si>
    <t xml:space="preserve">2026-03-13 11:18:26</t>
  </si>
  <si>
    <t xml:space="preserve">821607991773386281739</t>
  </si>
  <si>
    <t xml:space="preserve">2026-03-12 12:40:07</t>
  </si>
  <si>
    <t xml:space="preserve">821607991773304783913</t>
  </si>
  <si>
    <t xml:space="preserve">2026-03-11 23:32:36</t>
  </si>
  <si>
    <t xml:space="preserve">821607991773257535640</t>
  </si>
  <si>
    <t xml:space="preserve">2026-03-09 14:46:46</t>
  </si>
  <si>
    <t xml:space="preserve">821607991773053175479</t>
  </si>
  <si>
    <t xml:space="preserve">412068•3566</t>
  </si>
  <si>
    <t xml:space="preserve">412068</t>
  </si>
  <si>
    <t xml:space="preserve">3566</t>
  </si>
  <si>
    <t xml:space="preserve">PREPAID</t>
  </si>
  <si>
    <t xml:space="preserve">SUTTON BANK</t>
  </si>
  <si>
    <t xml:space="preserve">US</t>
  </si>
  <si>
    <t xml:space="preserve">2026-04-06 15:23:58</t>
  </si>
  <si>
    <t xml:space="preserve">821608091775474605327</t>
  </si>
  <si>
    <t xml:space="preserve">408578•9148</t>
  </si>
  <si>
    <t xml:space="preserve">408578</t>
  </si>
  <si>
    <t xml:space="preserve">9148</t>
  </si>
  <si>
    <t xml:space="preserve">Coca Cola Mix</t>
  </si>
  <si>
    <t xml:space="preserve">2026-04-02 13:23:21</t>
  </si>
  <si>
    <t xml:space="preserve">821607991775121778413</t>
  </si>
  <si>
    <t xml:space="preserve">515533•8018</t>
  </si>
  <si>
    <t xml:space="preserve">515533</t>
  </si>
  <si>
    <t xml:space="preserve">8018</t>
  </si>
  <si>
    <t xml:space="preserve">NATIONAL BANK OF RAS AL-KHAIMA</t>
  </si>
  <si>
    <t xml:space="preserve">TOTAL (94 txns)</t>
  </si>
  <si>
    <t xml:space="preserve">Weimi transactions WITHOUT an Adyen SettledBulk match (paid &gt; 0)</t>
  </si>
  <si>
    <t xml:space="preserve">These are member/wallet payments or rows outside the Adyen settlement window. Ordered by amount.</t>
  </si>
  <si>
    <t xml:space="preserve">Internal txn SN</t>
  </si>
  <si>
    <t xml:space="preserve">Paid (AED)</t>
  </si>
  <si>
    <t xml:space="preserve">Total (AED)</t>
  </si>
  <si>
    <t xml:space="preserve">Product</t>
  </si>
  <si>
    <t xml:space="preserve">Classification</t>
  </si>
  <si>
    <t xml:space="preserve">Slot</t>
  </si>
  <si>
    <t xml:space="preserve">2026-04-03 11:49:49</t>
  </si>
  <si>
    <t xml:space="preserve">821608031775216929079_1</t>
  </si>
  <si>
    <t xml:space="preserve">0-A11</t>
  </si>
  <si>
    <t xml:space="preserve">2026-03-11 11:20:59</t>
  </si>
  <si>
    <t xml:space="preserve">821608061773228034376_1</t>
  </si>
  <si>
    <t xml:space="preserve">Biscuits &amp; Cookies</t>
  </si>
  <si>
    <t xml:space="preserve">0-A04</t>
  </si>
  <si>
    <t xml:space="preserve">2026-03-12 11:43:03</t>
  </si>
  <si>
    <t xml:space="preserve">821608061773315763548_1</t>
  </si>
  <si>
    <t xml:space="preserve">2026-03-18 14:39:28</t>
  </si>
  <si>
    <t xml:space="preserve">821608061773844721146_1</t>
  </si>
  <si>
    <t xml:space="preserve">2026-03-23 09:30:28</t>
  </si>
  <si>
    <t xml:space="preserve">821608061774258191551_1</t>
  </si>
  <si>
    <t xml:space="preserve">2026-04-15 20:19:34</t>
  </si>
  <si>
    <t xml:space="preserve">821608031776284263838_1</t>
  </si>
  <si>
    <t xml:space="preserve">VOX Popcorn Cheese</t>
  </si>
  <si>
    <t xml:space="preserve">0-A02</t>
  </si>
  <si>
    <t xml:space="preserve">2026-03-10 07:18:18</t>
  </si>
  <si>
    <t xml:space="preserve">260310000029_1</t>
  </si>
  <si>
    <t xml:space="preserve">Ice Coffee &amp; Tea</t>
  </si>
  <si>
    <t xml:space="preserve">0-A06</t>
  </si>
  <si>
    <t xml:space="preserve">2026-02-14 12:46:37</t>
  </si>
  <si>
    <t xml:space="preserve">821608181771073171852_3</t>
  </si>
  <si>
    <t xml:space="preserve">1-A13</t>
  </si>
  <si>
    <t xml:space="preserve">2026-02-14 13:38:44</t>
  </si>
  <si>
    <t xml:space="preserve">821608171771076271865_1</t>
  </si>
  <si>
    <t xml:space="preserve">Vitamin &amp; Health Drinks</t>
  </si>
  <si>
    <t xml:space="preserve">1-A05</t>
  </si>
  <si>
    <t xml:space="preserve">2026-03-10 07:54:03</t>
  </si>
  <si>
    <t xml:space="preserve">260310000057_1</t>
  </si>
  <si>
    <t xml:space="preserve">2026-01-30 05:37:57</t>
  </si>
  <si>
    <t xml:space="preserve">821607911767346546413_1</t>
  </si>
  <si>
    <t xml:space="preserve">821608061774258191551_2</t>
  </si>
  <si>
    <t xml:space="preserve">Dairy &amp; Yogurt</t>
  </si>
  <si>
    <t xml:space="preserve">0-A08</t>
  </si>
  <si>
    <t xml:space="preserve">2026-02-14 18:52:10</t>
  </si>
  <si>
    <t xml:space="preserve">821608061771095088127_1</t>
  </si>
  <si>
    <t xml:space="preserve">Dips &amp; Crakers</t>
  </si>
  <si>
    <t xml:space="preserve">0-A05</t>
  </si>
  <si>
    <t xml:space="preserve">2026-02-14 12:38:31</t>
  </si>
  <si>
    <t xml:space="preserve">821608181771072684443_1</t>
  </si>
  <si>
    <t xml:space="preserve">1-A00</t>
  </si>
  <si>
    <t xml:space="preserve">2026-02-14 12:40:35</t>
  </si>
  <si>
    <t xml:space="preserve">821608181771072807537_3</t>
  </si>
  <si>
    <t xml:space="preserve">821608181771072807537_2</t>
  </si>
  <si>
    <t xml:space="preserve">1-A10</t>
  </si>
  <si>
    <t xml:space="preserve">2026-02-14 12:40:57</t>
  </si>
  <si>
    <t xml:space="preserve">821608181771072828735_1</t>
  </si>
  <si>
    <t xml:space="preserve">821608181771072828735_3</t>
  </si>
  <si>
    <t xml:space="preserve">821608181771072828735_2</t>
  </si>
  <si>
    <t xml:space="preserve">2026-02-14 13:08:29</t>
  </si>
  <si>
    <t xml:space="preserve">821608181771074456894_2</t>
  </si>
  <si>
    <t xml:space="preserve">Almarai Farm Select Juice Mix</t>
  </si>
  <si>
    <t xml:space="preserve">Juice</t>
  </si>
  <si>
    <t xml:space="preserve">0-A10</t>
  </si>
  <si>
    <t xml:space="preserve">2026-02-10 09:30:11</t>
  </si>
  <si>
    <t xml:space="preserve">821607941770715775795_1</t>
  </si>
  <si>
    <t xml:space="preserve">Krambals &amp; Zigi</t>
  </si>
  <si>
    <t xml:space="preserve">Nuts &amp; Dried Fruits;Crackers &amp; Pretzels</t>
  </si>
  <si>
    <t xml:space="preserve">2026-03-10 07:22:57</t>
  </si>
  <si>
    <t xml:space="preserve">260310000032_1</t>
  </si>
  <si>
    <t xml:space="preserve">2026-03-10 07:32:38</t>
  </si>
  <si>
    <t xml:space="preserve">260310000048_1</t>
  </si>
  <si>
    <t xml:space="preserve">2026-03-10 07:53:12</t>
  </si>
  <si>
    <t xml:space="preserve">260310000055_1</t>
  </si>
  <si>
    <t xml:space="preserve">2026-02-11 12:13:29</t>
  </si>
  <si>
    <t xml:space="preserve">821607941770811986472_1</t>
  </si>
  <si>
    <t xml:space="preserve">Loacker</t>
  </si>
  <si>
    <t xml:space="preserve">2026-01-28 06:15:22</t>
  </si>
  <si>
    <t xml:space="preserve">821607941769595119156_2</t>
  </si>
  <si>
    <t xml:space="preserve">821607941770715775795_2</t>
  </si>
  <si>
    <t xml:space="preserve">Popcorn</t>
  </si>
  <si>
    <t xml:space="preserve">0-A15</t>
  </si>
  <si>
    <t xml:space="preserve">821607941770811986472_3</t>
  </si>
  <si>
    <t xml:space="preserve">2026-02-17 12:16:12</t>
  </si>
  <si>
    <t xml:space="preserve">821607941771330543174_1</t>
  </si>
  <si>
    <t xml:space="preserve">2026-01-27 00:32:20</t>
  </si>
  <si>
    <t xml:space="preserve">821608191769488329477_1</t>
  </si>
  <si>
    <t xml:space="preserve">2026-02-19 13:40:33</t>
  </si>
  <si>
    <t xml:space="preserve">821607931771508397866_2</t>
  </si>
  <si>
    <t xml:space="preserve">Water</t>
  </si>
  <si>
    <t xml:space="preserve">2026-02-06 11:40:15</t>
  </si>
  <si>
    <t xml:space="preserve">821607941770377984970_2</t>
  </si>
  <si>
    <t xml:space="preserve">821607941770811986472_2</t>
  </si>
  <si>
    <t xml:space="preserve">821608181771072684443_2</t>
  </si>
  <si>
    <t xml:space="preserve">1-A01</t>
  </si>
  <si>
    <t xml:space="preserve">821608181771072807537_1</t>
  </si>
  <si>
    <t xml:space="preserve">821608181771073171852_2</t>
  </si>
  <si>
    <t xml:space="preserve">1-A02</t>
  </si>
  <si>
    <t xml:space="preserve">821608181771073171852_1</t>
  </si>
  <si>
    <t xml:space="preserve">821608181771073171852_4</t>
  </si>
  <si>
    <t xml:space="preserve">1-A14</t>
  </si>
  <si>
    <t xml:space="preserve">821608181771074456894_1</t>
  </si>
  <si>
    <t xml:space="preserve">Sun Blast Juice</t>
  </si>
  <si>
    <t xml:space="preserve">821608181771074456894_4</t>
  </si>
  <si>
    <t xml:space="preserve">1-A15</t>
  </si>
  <si>
    <t xml:space="preserve">821608181771074456894_3</t>
  </si>
  <si>
    <t xml:space="preserve">821607941769595119156_1</t>
  </si>
  <si>
    <t xml:space="preserve">Soft Drinks Mix</t>
  </si>
  <si>
    <t xml:space="preserve">821607941770377984970_1</t>
  </si>
  <si>
    <t xml:space="preserve">Soft Drinks</t>
  </si>
  <si>
    <t xml:space="preserve">0-A01</t>
  </si>
  <si>
    <t xml:space="preserve">821607931771508397866_1</t>
  </si>
  <si>
    <t xml:space="preserve">2026-04-15 20:32:27</t>
  </si>
  <si>
    <t xml:space="preserve">821607991776285114297_1</t>
  </si>
  <si>
    <t xml:space="preserve">Barebells</t>
  </si>
  <si>
    <t xml:space="preserve">Protein &amp; Health Bars</t>
  </si>
  <si>
    <t xml:space="preserve">2026-04-15 21:18:53</t>
  </si>
  <si>
    <t xml:space="preserve">821607991776287893152_1</t>
  </si>
  <si>
    <t xml:space="preserve">Methodology &amp; Notes</t>
  </si>
  <si>
    <t xml:space="preserve">Join key</t>
  </si>
  <si>
    <t xml:space="preserve">Weimi.internal_txn_sn (before the '_N' suffix) == Adyen.merchant_reference. Every Adyen SettledBulk row has a Weimi counterpart — zero orphans.</t>
  </si>
  <si>
    <t xml:space="preserve">Weimi total</t>
  </si>
  <si>
    <t xml:space="preserve">sales_history.total_amount — the shelf price (AED) of each line item, before any adjustments. This is what the vending machine invoiced.</t>
  </si>
  <si>
    <t xml:space="preserve">Weimi paid</t>
  </si>
  <si>
    <t xml:space="preserve">sales_history.paid_amount — what Weimi recorded as received for the line item. On multi-item cart auths Weimi often writes the full payment on line _1 and zero on lines _2, _3 etc; summing all lines under the base txn gives the true total received.</t>
  </si>
  <si>
    <t xml:space="preserve">Adyen captured</t>
  </si>
  <si>
    <t xml:space="preserve">adyen_transactions.captured_amount_value filtered to status = 'SettledBulk'. This is what the card processor actually debited and settled.</t>
  </si>
  <si>
    <t xml:space="preserve">Defaults</t>
  </si>
  <si>
    <t xml:space="preserve">GREATEST(Weimi_total − Adyen_captured, 0) per base txn. Represents shortfall: machine invoiced but Adyen did not capture (or captured less). Causes: Cancelled/Refused auth, RefundedBulk reversal, at-pump member adjustment, recent-day Adyen cutoff.</t>
  </si>
  <si>
    <t xml:space="preserve">Increments</t>
  </si>
  <si>
    <t xml:space="preserve">GREATEST(Adyen_captured − Weimi_total, 0) per base txn. Represents overcharge: Adyen captured more than shelf. Extremely rare (4.75 AED across 2026 YTD).</t>
  </si>
  <si>
    <t xml:space="preserve">Net</t>
  </si>
  <si>
    <t xml:space="preserve">Weimi_total − Adyen_captured per row (signed). Sum ≈ Defaults − Increments.</t>
  </si>
  <si>
    <t xml:space="preserve">Member discount</t>
  </si>
  <si>
    <t xml:space="preserve">In this database the column member_discount_amount is 0 for every 2026 row. No member discounts have been booked through that field. What previously looked like a 'discount' is the line-item allocation quirk described above under 'Weimi paid'.</t>
  </si>
  <si>
    <t xml:space="preserve">Timezone</t>
  </si>
  <si>
    <t xml:space="preserve">Weimi raw timestamps were wall-clock Dubai but tagged UTC in storage. Migration 20260417170000_fix_weimi_timezone re-cast 8,110 rows to correct UTC instants and pinned process_weimi_staging to Asia/Dubai for future uploads.</t>
  </si>
  <si>
    <t xml:space="preserve">Adyen data window</t>
  </si>
  <si>
    <t xml:space="preserve">Adyen settlement feed currently ends 2026-04-07. Rows from Apr 8–15 have no Adyen counterpart yet and count as Defaults in this lens.</t>
  </si>
  <si>
    <t xml:space="preserve">Excluded statuses</t>
  </si>
  <si>
    <t xml:space="preserve">Adyen Cancelled (412), Refused (68), RefundedBulk (17), Expired (1) are excluded from 'captured'. If a Weimi txn matches one of these, it shows as a Default.</t>
  </si>
  <si>
    <t xml:space="preserve">Twin devices</t>
  </si>
  <si>
    <t xml:space="preserve">ADDMIND-1007-0000-W0 and USH-1008-0000-W1 share card auths. Totals are legitimate per-device; some defaults on USH reflect reversals that happened there.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</si>
</sst>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0.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1182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1182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293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74151"/>
        <bgColor rgb="FF1F4E78"/>
      </patternFill>
    </fill>
    <fill>
      <patternFill patternType="solid">
        <fgColor rgb="FFF9FAFB"/>
        <bgColor rgb="FFF2F6FA"/>
      </patternFill>
    </fill>
    <fill>
      <patternFill patternType="solid">
        <fgColor rgb="FFF3F4F6"/>
        <bgColor rgb="FFF2F6FA"/>
      </patternFill>
    </fill>
    <fill>
      <patternFill patternType="solid">
        <fgColor rgb="FF1F4E78"/>
        <bgColor rgb="FF374151"/>
      </patternFill>
    </fill>
    <fill>
      <patternFill patternType="solid">
        <fgColor rgb="FFF2F6FA"/>
        <bgColor rgb="FFF3F4F6"/>
      </patternFill>
    </fill>
    <fill>
      <patternFill patternType="solid">
        <fgColor rgb="FFFFF4CE"/>
        <bgColor rgb="FFF3F4F6"/>
      </patternFill>
    </fill>
    <fill>
      <patternFill patternType="solid">
        <fgColor rgb="FFE8EEF5"/>
        <bgColor rgb="FFE5E7EB"/>
      </patternFill>
    </fill>
    <fill>
      <patternFill patternType="solid">
        <fgColor rgb="FF1F2937"/>
        <bgColor rgb="FF11182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fgColor rgb="FFFFF4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4C4C"/>
          <bgColor rgb="FF000000"/>
        </patternFill>
      </fill>
    </dxf>
    <dxf>
      <fill>
        <patternFill patternType="solid">
          <fgColor rgb="FFE98C5C"/>
          <bgColor rgb="FF000000"/>
        </patternFill>
      </fill>
    </dxf>
    <dxf>
      <fill>
        <patternFill patternType="solid">
          <fgColor rgb="FFED935E"/>
          <bgColor rgb="FF000000"/>
        </patternFill>
      </fill>
    </dxf>
    <dxf>
      <fill>
        <patternFill patternType="solid">
          <fgColor rgb="FFEF975F"/>
          <bgColor rgb="FF000000"/>
        </patternFill>
      </fill>
    </dxf>
    <dxf>
      <fill>
        <patternFill patternType="solid">
          <fgColor rgb="FFEF985F"/>
          <bgColor rgb="FF000000"/>
        </patternFill>
      </fill>
    </dxf>
    <dxf>
      <fill>
        <patternFill patternType="solid">
          <fgColor rgb="FFF0995F"/>
          <bgColor rgb="FF000000"/>
        </patternFill>
      </fill>
    </dxf>
    <dxf>
      <fill>
        <patternFill patternType="solid">
          <fgColor rgb="FFF09A5F"/>
          <bgColor rgb="FF000000"/>
        </patternFill>
      </fill>
    </dxf>
    <dxf>
      <fill>
        <patternFill patternType="solid">
          <fgColor rgb="FFF19B60"/>
          <bgColor rgb="FF000000"/>
        </patternFill>
      </fill>
    </dxf>
    <dxf>
      <fill>
        <patternFill patternType="solid">
          <fgColor rgb="FFF19C60"/>
          <bgColor rgb="FF000000"/>
        </patternFill>
      </fill>
    </dxf>
    <dxf>
      <fill>
        <patternFill patternType="solid">
          <fgColor rgb="FFF29D60"/>
          <bgColor rgb="FF000000"/>
        </patternFill>
      </fill>
    </dxf>
    <dxf>
      <fill>
        <patternFill patternType="solid">
          <fgColor rgb="FFF29E60"/>
          <bgColor rgb="FF000000"/>
        </patternFill>
      </fill>
    </dxf>
    <dxf>
      <fill>
        <patternFill patternType="solid">
          <fgColor rgb="FFF39F61"/>
          <bgColor rgb="FF000000"/>
        </patternFill>
      </fill>
    </dxf>
    <dxf>
      <fill>
        <patternFill patternType="solid">
          <fgColor rgb="FFF3A061"/>
          <bgColor rgb="FF000000"/>
        </patternFill>
      </fill>
    </dxf>
    <dxf>
      <fill>
        <patternFill patternType="solid">
          <fgColor rgb="FFF4A161"/>
          <bgColor rgb="FF000000"/>
        </patternFill>
      </fill>
    </dxf>
    <dxf>
      <fill>
        <patternFill patternType="solid">
          <fgColor rgb="FFF4A261"/>
          <bgColor rgb="FF000000"/>
        </patternFill>
      </fill>
    </dxf>
    <dxf>
      <fill>
        <patternFill patternType="solid">
          <fgColor rgb="FFF5A464"/>
          <bgColor rgb="FF000000"/>
        </patternFill>
      </fill>
    </dxf>
    <dxf>
      <fill>
        <patternFill patternType="solid">
          <fgColor rgb="FFF5AA6E"/>
          <bgColor rgb="FF000000"/>
        </patternFill>
      </fill>
    </dxf>
    <dxf>
      <fill>
        <patternFill patternType="solid">
          <fgColor rgb="FFF6AA6F"/>
          <bgColor rgb="FF000000"/>
        </patternFill>
      </fill>
    </dxf>
    <dxf>
      <fill>
        <patternFill patternType="solid">
          <fgColor rgb="FFF6AD75"/>
          <bgColor rgb="FF000000"/>
        </patternFill>
      </fill>
    </dxf>
    <dxf>
      <fill>
        <patternFill patternType="solid">
          <fgColor rgb="FFF6B17C"/>
          <bgColor rgb="FF000000"/>
        </patternFill>
      </fill>
    </dxf>
    <dxf>
      <fill>
        <patternFill patternType="solid">
          <fgColor rgb="FFF7B37F"/>
          <bgColor rgb="FF000000"/>
        </patternFill>
      </fill>
    </dxf>
    <dxf>
      <fill>
        <patternFill patternType="solid">
          <fgColor rgb="FFF7B582"/>
          <bgColor rgb="FF000000"/>
        </patternFill>
      </fill>
    </dxf>
    <dxf>
      <fill>
        <patternFill patternType="solid">
          <fgColor rgb="FFF7B583"/>
          <bgColor rgb="FF000000"/>
        </patternFill>
      </fill>
    </dxf>
    <dxf>
      <fill>
        <patternFill patternType="solid">
          <fgColor rgb="FFF8BC90"/>
          <bgColor rgb="FF000000"/>
        </patternFill>
      </fill>
    </dxf>
    <dxf>
      <fill>
        <patternFill patternType="solid">
          <fgColor rgb="FFF8C096"/>
          <bgColor rgb="FF000000"/>
        </patternFill>
      </fill>
    </dxf>
    <dxf>
      <fill>
        <patternFill patternType="solid">
          <fgColor rgb="FFF9C29A"/>
          <bgColor rgb="FF000000"/>
        </patternFill>
      </fill>
    </dxf>
    <dxf>
      <fill>
        <patternFill patternType="solid">
          <fgColor rgb="FFF9C59F"/>
          <bgColor rgb="FF000000"/>
        </patternFill>
      </fill>
    </dxf>
    <dxf>
      <fill>
        <patternFill patternType="solid">
          <fgColor rgb="FFF9C6A1"/>
          <bgColor rgb="FF000000"/>
        </patternFill>
      </fill>
    </dxf>
    <dxf>
      <fill>
        <patternFill patternType="solid">
          <fgColor rgb="FFFACAA9"/>
          <bgColor rgb="FF000000"/>
        </patternFill>
      </fill>
    </dxf>
    <dxf>
      <fill>
        <patternFill patternType="solid">
          <fgColor rgb="FFFACDAE"/>
          <bgColor rgb="FF000000"/>
        </patternFill>
      </fill>
    </dxf>
    <dxf>
      <fill>
        <patternFill patternType="solid">
          <fgColor rgb="FFFBD3B8"/>
          <bgColor rgb="FF000000"/>
        </patternFill>
      </fill>
    </dxf>
    <dxf>
      <fill>
        <patternFill patternType="solid">
          <fgColor rgb="FFFBD3B9"/>
          <bgColor rgb="FF000000"/>
        </patternFill>
      </fill>
    </dxf>
    <dxf>
      <fill>
        <patternFill patternType="solid">
          <fgColor rgb="FFFBD4BA"/>
          <bgColor rgb="FF000000"/>
        </patternFill>
      </fill>
    </dxf>
    <dxf>
      <fill>
        <patternFill patternType="solid">
          <fgColor rgb="FFFBD6BE"/>
          <bgColor rgb="FF000000"/>
        </patternFill>
      </fill>
    </dxf>
    <dxf>
      <fill>
        <patternFill patternType="solid">
          <fgColor rgb="FFFCD9C3"/>
          <bgColor rgb="FF000000"/>
        </patternFill>
      </fill>
    </dxf>
    <dxf>
      <fill>
        <patternFill patternType="solid">
          <fgColor rgb="FFFCDBC6"/>
          <bgColor rgb="FF000000"/>
        </patternFill>
      </fill>
    </dxf>
    <dxf>
      <fill>
        <patternFill patternType="solid">
          <fgColor rgb="FFFDE0CF"/>
          <bgColor rgb="FF000000"/>
        </patternFill>
      </fill>
    </dxf>
    <dxf>
      <fill>
        <patternFill patternType="solid">
          <fgColor rgb="FFFDE0D0"/>
          <bgColor rgb="FF000000"/>
        </patternFill>
      </fill>
    </dxf>
    <dxf>
      <fill>
        <patternFill patternType="solid">
          <fgColor rgb="FFFDE1D1"/>
          <bgColor rgb="FF000000"/>
        </patternFill>
      </fill>
    </dxf>
    <dxf>
      <fill>
        <patternFill patternType="solid">
          <fgColor rgb="FFFDE3D5"/>
          <bgColor rgb="FF000000"/>
        </patternFill>
      </fill>
    </dxf>
    <dxf>
      <fill>
        <patternFill patternType="solid">
          <fgColor rgb="FFFFF1EF"/>
          <bgColor rgb="FF000000"/>
        </patternFill>
      </fill>
    </dxf>
    <dxf>
      <fill>
        <patternFill patternType="solid">
          <fgColor rgb="FFFFF4F3"/>
          <bgColor rgb="FF000000"/>
        </patternFill>
      </fill>
    </dxf>
    <dxf>
      <fill>
        <patternFill patternType="solid">
          <fgColor rgb="FFFFF4F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55555"/>
      <rgbColor rgb="FF9999FF"/>
      <rgbColor rgb="FF993366"/>
      <rgbColor rgb="FFFFF4CE"/>
      <rgbColor rgb="FFE8EE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E5E7EB"/>
      <rgbColor rgb="FFF3F4F6"/>
      <rgbColor rgb="FF99CCFF"/>
      <rgbColor rgb="FFFF99CC"/>
      <rgbColor rgb="FFCC99FF"/>
      <rgbColor rgb="FFF9FAFB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74151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8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5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7" t="n">
        <v>6611</v>
      </c>
      <c r="C6" s="8" t="n">
        <v>83058.14</v>
      </c>
      <c r="D6" s="9" t="n">
        <v>1</v>
      </c>
      <c r="E6" s="6" t="s">
        <v>9</v>
      </c>
    </row>
    <row r="7" customFormat="false" ht="15" hidden="false" customHeight="true" outlineLevel="0" collapsed="false">
      <c r="A7" s="10" t="s">
        <v>10</v>
      </c>
      <c r="B7" s="11"/>
      <c r="C7" s="12" t="n">
        <v>82378.33</v>
      </c>
      <c r="D7" s="13" t="n">
        <v>0.9918</v>
      </c>
      <c r="E7" s="10" t="s">
        <v>11</v>
      </c>
    </row>
    <row r="8" customFormat="false" ht="15" hidden="false" customHeight="true" outlineLevel="0" collapsed="false">
      <c r="A8" s="6" t="s">
        <v>12</v>
      </c>
      <c r="B8" s="7" t="n">
        <v>6032</v>
      </c>
      <c r="C8" s="8" t="n">
        <v>81630.16</v>
      </c>
      <c r="D8" s="9" t="n">
        <v>0.9828</v>
      </c>
      <c r="E8" s="6" t="s">
        <v>13</v>
      </c>
    </row>
    <row r="9" customFormat="false" ht="15" hidden="false" customHeight="true" outlineLevel="0" collapsed="false">
      <c r="A9" s="10" t="s">
        <v>14</v>
      </c>
      <c r="B9" s="11" t="n">
        <v>6032</v>
      </c>
      <c r="C9" s="12"/>
      <c r="D9" s="13" t="n">
        <v>0.9124</v>
      </c>
      <c r="E9" s="10" t="s">
        <v>15</v>
      </c>
    </row>
    <row r="10" customFormat="false" ht="15" hidden="false" customHeight="true" outlineLevel="0" collapsed="false">
      <c r="A10" s="6" t="s">
        <v>16</v>
      </c>
      <c r="B10" s="7" t="n">
        <v>579</v>
      </c>
      <c r="C10" s="8"/>
      <c r="D10" s="9" t="n">
        <v>0.0876</v>
      </c>
      <c r="E10" s="6" t="s">
        <v>17</v>
      </c>
    </row>
    <row r="12" customFormat="false" ht="15" hidden="false" customHeight="true" outlineLevel="0" collapsed="false">
      <c r="A12" s="4" t="s">
        <v>18</v>
      </c>
      <c r="B12" s="4"/>
      <c r="C12" s="4"/>
      <c r="D12" s="4"/>
      <c r="E12" s="4"/>
    </row>
    <row r="13" customFormat="false" ht="15" hidden="false" customHeight="true" outlineLevel="0" collapsed="false">
      <c r="A13" s="5" t="s">
        <v>3</v>
      </c>
      <c r="B13" s="5"/>
      <c r="C13" s="5" t="s">
        <v>5</v>
      </c>
      <c r="D13" s="5" t="s">
        <v>6</v>
      </c>
      <c r="E13" s="5" t="s">
        <v>7</v>
      </c>
    </row>
    <row r="14" customFormat="false" ht="15" hidden="false" customHeight="true" outlineLevel="0" collapsed="false">
      <c r="A14" s="6" t="s">
        <v>19</v>
      </c>
      <c r="B14" s="7"/>
      <c r="C14" s="8" t="n">
        <v>1432.73</v>
      </c>
      <c r="D14" s="14" t="n">
        <v>0.0173</v>
      </c>
      <c r="E14" s="6" t="s">
        <v>20</v>
      </c>
    </row>
    <row r="15" customFormat="false" ht="15" hidden="false" customHeight="true" outlineLevel="0" collapsed="false">
      <c r="A15" s="10" t="s">
        <v>21</v>
      </c>
      <c r="B15" s="11"/>
      <c r="C15" s="12" t="n">
        <v>4.75</v>
      </c>
      <c r="D15" s="15" t="n">
        <v>0.0001</v>
      </c>
      <c r="E15" s="10" t="s">
        <v>22</v>
      </c>
    </row>
    <row r="16" customFormat="false" ht="15" hidden="false" customHeight="true" outlineLevel="0" collapsed="false">
      <c r="A16" s="6" t="s">
        <v>23</v>
      </c>
      <c r="B16" s="7"/>
      <c r="C16" s="8" t="n">
        <v>1427.98</v>
      </c>
      <c r="D16" s="14" t="n">
        <v>0.0172</v>
      </c>
      <c r="E16" s="6" t="s">
        <v>24</v>
      </c>
    </row>
    <row r="17" customFormat="false" ht="15" hidden="false" customHeight="true" outlineLevel="0" collapsed="false">
      <c r="A17" s="10" t="s">
        <v>25</v>
      </c>
      <c r="B17" s="11"/>
      <c r="C17" s="12" t="n">
        <v>679.81</v>
      </c>
      <c r="D17" s="15" t="n">
        <v>0.0082</v>
      </c>
      <c r="E17" s="10" t="s">
        <v>26</v>
      </c>
    </row>
    <row r="20" customFormat="false" ht="15" hidden="false" customHeight="true" outlineLevel="0" collapsed="false">
      <c r="A20" s="16" t="s">
        <v>27</v>
      </c>
    </row>
    <row r="21" customFormat="false" ht="30" hidden="false" customHeight="true" outlineLevel="0" collapsed="false">
      <c r="A21" s="17" t="s">
        <v>28</v>
      </c>
      <c r="B21" s="17"/>
      <c r="C21" s="17"/>
      <c r="D21" s="17"/>
      <c r="E21" s="17"/>
    </row>
    <row r="22" customFormat="false" ht="30" hidden="false" customHeight="true" outlineLevel="0" collapsed="false">
      <c r="A22" s="17" t="s">
        <v>29</v>
      </c>
      <c r="B22" s="17"/>
      <c r="C22" s="17"/>
      <c r="D22" s="17"/>
      <c r="E22" s="17"/>
    </row>
    <row r="23" customFormat="false" ht="30" hidden="false" customHeight="true" outlineLevel="0" collapsed="false">
      <c r="A23" s="17" t="s">
        <v>30</v>
      </c>
      <c r="B23" s="17"/>
      <c r="C23" s="17"/>
      <c r="D23" s="17"/>
      <c r="E23" s="17"/>
    </row>
    <row r="24" customFormat="false" ht="30" hidden="false" customHeight="true" outlineLevel="0" collapsed="false">
      <c r="A24" s="17" t="s">
        <v>31</v>
      </c>
      <c r="B24" s="17"/>
      <c r="C24" s="17"/>
      <c r="D24" s="17"/>
      <c r="E24" s="17"/>
    </row>
    <row r="25" customFormat="false" ht="30" hidden="false" customHeight="true" outlineLevel="0" collapsed="false">
      <c r="A25" s="17" t="s">
        <v>32</v>
      </c>
      <c r="B25" s="17"/>
      <c r="C25" s="17"/>
      <c r="D25" s="17"/>
      <c r="E25" s="17"/>
    </row>
  </sheetData>
  <mergeCells count="9">
    <mergeCell ref="A1:E1"/>
    <mergeCell ref="A2:E2"/>
    <mergeCell ref="A4:E4"/>
    <mergeCell ref="A12:E12"/>
    <mergeCell ref="A21:E21"/>
    <mergeCell ref="A22:E22"/>
    <mergeCell ref="A23:E23"/>
    <mergeCell ref="A24:E24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17"/>
    <col collapsed="false" customWidth="true" hidden="false" outlineLevel="0" max="6" min="6" style="1" width="20"/>
    <col collapsed="false" customWidth="true" hidden="false" outlineLevel="0" max="8" min="7" style="1" width="15"/>
    <col collapsed="false" customWidth="true" hidden="false" outlineLevel="0" max="9" min="9" style="1" width="22"/>
  </cols>
  <sheetData>
    <row r="1" customFormat="false" ht="15.75" hidden="false" customHeight="true" outlineLevel="0" collapsed="false">
      <c r="A1" s="18" t="s">
        <v>33</v>
      </c>
      <c r="B1" s="18"/>
      <c r="C1" s="18"/>
      <c r="D1" s="18"/>
      <c r="E1" s="18"/>
      <c r="F1" s="18"/>
      <c r="G1" s="18"/>
      <c r="H1" s="18"/>
      <c r="I1" s="18"/>
    </row>
    <row r="2" customFormat="false" ht="15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5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</row>
    <row r="4" customFormat="false" ht="15" hidden="false" customHeight="true" outlineLevel="0" collapsed="false">
      <c r="A4" s="6" t="s">
        <v>44</v>
      </c>
      <c r="B4" s="7" t="n">
        <v>459</v>
      </c>
      <c r="C4" s="7" t="n">
        <v>454</v>
      </c>
      <c r="D4" s="8" t="n">
        <v>4861.64</v>
      </c>
      <c r="E4" s="8" t="n">
        <v>4804.92</v>
      </c>
      <c r="F4" s="8" t="n">
        <v>4800.5</v>
      </c>
      <c r="G4" s="8" t="n">
        <v>65.89</v>
      </c>
      <c r="H4" s="8" t="n">
        <v>4.75</v>
      </c>
      <c r="I4" s="8" t="n">
        <f aca="false">D4-F4</f>
        <v>61.1400000000003</v>
      </c>
    </row>
    <row r="5" customFormat="false" ht="15" hidden="false" customHeight="true" outlineLevel="0" collapsed="false">
      <c r="A5" s="10" t="s">
        <v>45</v>
      </c>
      <c r="B5" s="11" t="n">
        <v>11</v>
      </c>
      <c r="C5" s="11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f aca="false">D5-F5</f>
        <v>0</v>
      </c>
    </row>
    <row r="6" customFormat="false" ht="15" hidden="false" customHeight="true" outlineLevel="0" collapsed="false">
      <c r="A6" s="6" t="s">
        <v>46</v>
      </c>
      <c r="B6" s="7" t="n">
        <v>2</v>
      </c>
      <c r="C6" s="7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f aca="false">D6-F6</f>
        <v>0</v>
      </c>
    </row>
    <row r="7" customFormat="false" ht="15" hidden="false" customHeight="true" outlineLevel="0" collapsed="false">
      <c r="A7" s="10" t="s">
        <v>47</v>
      </c>
      <c r="B7" s="11" t="n">
        <v>617</v>
      </c>
      <c r="C7" s="11" t="n">
        <v>599</v>
      </c>
      <c r="D7" s="12" t="n">
        <v>7463.75</v>
      </c>
      <c r="E7" s="12" t="n">
        <v>7432.55</v>
      </c>
      <c r="F7" s="12" t="n">
        <v>7398.9</v>
      </c>
      <c r="G7" s="12" t="n">
        <v>64.85</v>
      </c>
      <c r="H7" s="12" t="n">
        <v>0</v>
      </c>
      <c r="I7" s="12" t="n">
        <f aca="false">D7-F7</f>
        <v>64.8500000000004</v>
      </c>
    </row>
    <row r="8" customFormat="false" ht="15" hidden="false" customHeight="true" outlineLevel="0" collapsed="false">
      <c r="A8" s="6" t="s">
        <v>48</v>
      </c>
      <c r="B8" s="7" t="n">
        <v>12</v>
      </c>
      <c r="C8" s="7" t="n">
        <v>7</v>
      </c>
      <c r="D8" s="8" t="n">
        <v>74.55</v>
      </c>
      <c r="E8" s="8" t="n">
        <v>74.55</v>
      </c>
      <c r="F8" s="8" t="n">
        <v>74.55</v>
      </c>
      <c r="G8" s="8" t="n">
        <v>0</v>
      </c>
      <c r="H8" s="8" t="n">
        <v>0</v>
      </c>
      <c r="I8" s="8" t="n">
        <f aca="false">D8-F8</f>
        <v>0</v>
      </c>
    </row>
    <row r="9" customFormat="false" ht="15" hidden="false" customHeight="true" outlineLevel="0" collapsed="false">
      <c r="A9" s="10" t="s">
        <v>49</v>
      </c>
      <c r="B9" s="11" t="n">
        <v>51</v>
      </c>
      <c r="C9" s="11" t="n">
        <v>50</v>
      </c>
      <c r="D9" s="12" t="n">
        <v>420.4</v>
      </c>
      <c r="E9" s="12" t="n">
        <v>420.4</v>
      </c>
      <c r="F9" s="12" t="n">
        <v>420.4</v>
      </c>
      <c r="G9" s="12" t="n">
        <v>0</v>
      </c>
      <c r="H9" s="12" t="n">
        <v>0</v>
      </c>
      <c r="I9" s="12" t="n">
        <f aca="false">D9-F9</f>
        <v>0</v>
      </c>
    </row>
    <row r="10" customFormat="false" ht="15" hidden="false" customHeight="true" outlineLevel="0" collapsed="false">
      <c r="A10" s="6" t="s">
        <v>50</v>
      </c>
      <c r="B10" s="7" t="n">
        <v>75</v>
      </c>
      <c r="C10" s="7" t="n">
        <v>72</v>
      </c>
      <c r="D10" s="8" t="n">
        <v>798.05</v>
      </c>
      <c r="E10" s="8" t="n">
        <v>798.05</v>
      </c>
      <c r="F10" s="8" t="n">
        <v>798.05</v>
      </c>
      <c r="G10" s="8" t="n">
        <v>0</v>
      </c>
      <c r="H10" s="8" t="n">
        <v>0</v>
      </c>
      <c r="I10" s="8" t="n">
        <f aca="false">D10-F10</f>
        <v>0</v>
      </c>
    </row>
    <row r="11" customFormat="false" ht="15" hidden="false" customHeight="true" outlineLevel="0" collapsed="false">
      <c r="A11" s="10" t="s">
        <v>51</v>
      </c>
      <c r="B11" s="11" t="n">
        <v>186</v>
      </c>
      <c r="C11" s="11" t="n">
        <v>186</v>
      </c>
      <c r="D11" s="12" t="n">
        <v>1651.8</v>
      </c>
      <c r="E11" s="12" t="n">
        <v>1585.89</v>
      </c>
      <c r="F11" s="12" t="n">
        <v>1545.19</v>
      </c>
      <c r="G11" s="12" t="n">
        <v>106.61</v>
      </c>
      <c r="H11" s="12" t="n">
        <v>0</v>
      </c>
      <c r="I11" s="12" t="n">
        <f aca="false">D11-F11</f>
        <v>106.61</v>
      </c>
    </row>
    <row r="12" customFormat="false" ht="15" hidden="false" customHeight="true" outlineLevel="0" collapsed="false">
      <c r="A12" s="6" t="s">
        <v>52</v>
      </c>
      <c r="B12" s="7" t="n">
        <v>111</v>
      </c>
      <c r="C12" s="7" t="n">
        <v>102</v>
      </c>
      <c r="D12" s="8" t="n">
        <v>1255.35</v>
      </c>
      <c r="E12" s="8" t="n">
        <v>1193.4</v>
      </c>
      <c r="F12" s="8" t="n">
        <v>1193.4</v>
      </c>
      <c r="G12" s="8" t="n">
        <v>61.95</v>
      </c>
      <c r="H12" s="8" t="n">
        <v>0</v>
      </c>
      <c r="I12" s="8" t="n">
        <f aca="false">D12-F12</f>
        <v>61.9499999999998</v>
      </c>
    </row>
    <row r="13" customFormat="false" ht="15" hidden="false" customHeight="true" outlineLevel="0" collapsed="false">
      <c r="A13" s="10" t="s">
        <v>53</v>
      </c>
      <c r="B13" s="11" t="n">
        <v>233</v>
      </c>
      <c r="C13" s="11" t="n">
        <v>226</v>
      </c>
      <c r="D13" s="12" t="n">
        <v>2848.4</v>
      </c>
      <c r="E13" s="12" t="n">
        <v>2848.4</v>
      </c>
      <c r="F13" s="12" t="n">
        <v>2842.65</v>
      </c>
      <c r="G13" s="12" t="n">
        <v>5.75</v>
      </c>
      <c r="H13" s="12" t="n">
        <v>0</v>
      </c>
      <c r="I13" s="12" t="n">
        <f aca="false">D13-F13</f>
        <v>5.75</v>
      </c>
    </row>
    <row r="14" customFormat="false" ht="15" hidden="false" customHeight="true" outlineLevel="0" collapsed="false">
      <c r="A14" s="6" t="s">
        <v>54</v>
      </c>
      <c r="B14" s="7" t="n">
        <v>59</v>
      </c>
      <c r="C14" s="7" t="n">
        <v>56</v>
      </c>
      <c r="D14" s="8" t="n">
        <v>674.5</v>
      </c>
      <c r="E14" s="8" t="n">
        <v>674.5</v>
      </c>
      <c r="F14" s="8" t="n">
        <v>674.5</v>
      </c>
      <c r="G14" s="8" t="n">
        <v>0</v>
      </c>
      <c r="H14" s="8" t="n">
        <v>0</v>
      </c>
      <c r="I14" s="8" t="n">
        <f aca="false">D14-F14</f>
        <v>0</v>
      </c>
    </row>
    <row r="15" customFormat="false" ht="15" hidden="false" customHeight="true" outlineLevel="0" collapsed="false">
      <c r="A15" s="10" t="s">
        <v>55</v>
      </c>
      <c r="B15" s="11" t="n">
        <v>161</v>
      </c>
      <c r="C15" s="11" t="n">
        <v>141</v>
      </c>
      <c r="D15" s="12" t="n">
        <v>1875.45</v>
      </c>
      <c r="E15" s="12" t="n">
        <v>1875.45</v>
      </c>
      <c r="F15" s="12" t="n">
        <v>1875.45</v>
      </c>
      <c r="G15" s="12" t="n">
        <v>0</v>
      </c>
      <c r="H15" s="12" t="n">
        <v>0</v>
      </c>
      <c r="I15" s="12" t="n">
        <f aca="false">D15-F15</f>
        <v>0</v>
      </c>
    </row>
    <row r="16" customFormat="false" ht="15" hidden="false" customHeight="true" outlineLevel="0" collapsed="false">
      <c r="A16" s="6" t="s">
        <v>56</v>
      </c>
      <c r="B16" s="7" t="n">
        <v>269</v>
      </c>
      <c r="C16" s="7" t="n">
        <v>268</v>
      </c>
      <c r="D16" s="8" t="n">
        <v>2895</v>
      </c>
      <c r="E16" s="8" t="n">
        <v>2895</v>
      </c>
      <c r="F16" s="8" t="n">
        <v>2870</v>
      </c>
      <c r="G16" s="8" t="n">
        <v>25</v>
      </c>
      <c r="H16" s="8" t="n">
        <v>0</v>
      </c>
      <c r="I16" s="8" t="n">
        <f aca="false">D16-F16</f>
        <v>25</v>
      </c>
    </row>
    <row r="17" customFormat="false" ht="15" hidden="false" customHeight="true" outlineLevel="0" collapsed="false">
      <c r="A17" s="10" t="s">
        <v>57</v>
      </c>
      <c r="B17" s="11" t="n">
        <v>428</v>
      </c>
      <c r="C17" s="11" t="n">
        <v>387</v>
      </c>
      <c r="D17" s="12" t="n">
        <v>4495</v>
      </c>
      <c r="E17" s="12" t="n">
        <v>4495</v>
      </c>
      <c r="F17" s="12" t="n">
        <v>4335</v>
      </c>
      <c r="G17" s="12" t="n">
        <v>160</v>
      </c>
      <c r="H17" s="12" t="n">
        <v>0</v>
      </c>
      <c r="I17" s="12" t="n">
        <f aca="false">D17-F17</f>
        <v>160</v>
      </c>
    </row>
    <row r="18" customFormat="false" ht="15" hidden="false" customHeight="true" outlineLevel="0" collapsed="false">
      <c r="A18" s="6" t="s">
        <v>58</v>
      </c>
      <c r="B18" s="7" t="n">
        <v>345</v>
      </c>
      <c r="C18" s="7" t="n">
        <v>285</v>
      </c>
      <c r="D18" s="8" t="n">
        <v>3535</v>
      </c>
      <c r="E18" s="8" t="n">
        <v>3535</v>
      </c>
      <c r="F18" s="8" t="n">
        <v>3520</v>
      </c>
      <c r="G18" s="8" t="n">
        <v>15</v>
      </c>
      <c r="H18" s="8" t="n">
        <v>0</v>
      </c>
      <c r="I18" s="8" t="n">
        <f aca="false">D18-F18</f>
        <v>15</v>
      </c>
    </row>
    <row r="19" customFormat="false" ht="15" hidden="false" customHeight="true" outlineLevel="0" collapsed="false">
      <c r="A19" s="10" t="s">
        <v>59</v>
      </c>
      <c r="B19" s="11" t="n">
        <v>388</v>
      </c>
      <c r="C19" s="11" t="n">
        <v>355</v>
      </c>
      <c r="D19" s="12" t="n">
        <v>4171.85</v>
      </c>
      <c r="E19" s="12" t="n">
        <v>4167.1</v>
      </c>
      <c r="F19" s="12" t="n">
        <v>4167.1</v>
      </c>
      <c r="G19" s="12" t="n">
        <v>4.75</v>
      </c>
      <c r="H19" s="12" t="n">
        <v>0</v>
      </c>
      <c r="I19" s="12" t="n">
        <f aca="false">D19-F19</f>
        <v>4.75</v>
      </c>
    </row>
    <row r="20" customFormat="false" ht="15" hidden="false" customHeight="true" outlineLevel="0" collapsed="false">
      <c r="A20" s="6" t="s">
        <v>60</v>
      </c>
      <c r="B20" s="7" t="n">
        <v>55</v>
      </c>
      <c r="C20" s="7" t="n">
        <v>53</v>
      </c>
      <c r="D20" s="8" t="n">
        <v>696.6</v>
      </c>
      <c r="E20" s="8" t="n">
        <v>696.6</v>
      </c>
      <c r="F20" s="8" t="n">
        <v>696.6</v>
      </c>
      <c r="G20" s="8" t="n">
        <v>0</v>
      </c>
      <c r="H20" s="8" t="n">
        <v>0</v>
      </c>
      <c r="I20" s="8" t="n">
        <f aca="false">D20-F20</f>
        <v>0</v>
      </c>
    </row>
    <row r="21" customFormat="false" ht="15" hidden="false" customHeight="true" outlineLevel="0" collapsed="false">
      <c r="A21" s="10" t="s">
        <v>61</v>
      </c>
      <c r="B21" s="11" t="n">
        <v>41</v>
      </c>
      <c r="C21" s="11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f aca="false">D21-F21</f>
        <v>0</v>
      </c>
    </row>
    <row r="22" customFormat="false" ht="15" hidden="false" customHeight="true" outlineLevel="0" collapsed="false">
      <c r="A22" s="6" t="s">
        <v>62</v>
      </c>
      <c r="B22" s="7" t="n">
        <v>229</v>
      </c>
      <c r="C22" s="7" t="n">
        <v>220</v>
      </c>
      <c r="D22" s="8" t="n">
        <v>3113.65</v>
      </c>
      <c r="E22" s="8" t="n">
        <v>3105.18</v>
      </c>
      <c r="F22" s="8" t="n">
        <v>3095.68</v>
      </c>
      <c r="G22" s="8" t="n">
        <v>17.97</v>
      </c>
      <c r="H22" s="8" t="n">
        <v>0</v>
      </c>
      <c r="I22" s="8" t="n">
        <f aca="false">D22-F22</f>
        <v>17.9700000000003</v>
      </c>
    </row>
    <row r="23" customFormat="false" ht="15" hidden="false" customHeight="true" outlineLevel="0" collapsed="false">
      <c r="A23" s="10" t="s">
        <v>63</v>
      </c>
      <c r="B23" s="11" t="n">
        <v>344</v>
      </c>
      <c r="C23" s="11" t="n">
        <v>320</v>
      </c>
      <c r="D23" s="12" t="n">
        <v>4786.4</v>
      </c>
      <c r="E23" s="12" t="n">
        <v>4752.27</v>
      </c>
      <c r="F23" s="12" t="n">
        <v>4748.02</v>
      </c>
      <c r="G23" s="12" t="n">
        <v>38.38</v>
      </c>
      <c r="H23" s="12" t="n">
        <v>0</v>
      </c>
      <c r="I23" s="12" t="n">
        <f aca="false">D23-F23</f>
        <v>38.3799999999992</v>
      </c>
    </row>
    <row r="24" customFormat="false" ht="15" hidden="false" customHeight="true" outlineLevel="0" collapsed="false">
      <c r="A24" s="6" t="s">
        <v>64</v>
      </c>
      <c r="B24" s="7" t="n">
        <v>137</v>
      </c>
      <c r="C24" s="7" t="n">
        <v>121</v>
      </c>
      <c r="D24" s="8" t="n">
        <v>1834.45</v>
      </c>
      <c r="E24" s="8" t="n">
        <v>1834.45</v>
      </c>
      <c r="F24" s="8" t="n">
        <v>1825</v>
      </c>
      <c r="G24" s="8" t="n">
        <v>9.45</v>
      </c>
      <c r="H24" s="8" t="n">
        <v>0</v>
      </c>
      <c r="I24" s="8" t="n">
        <f aca="false">D24-F24</f>
        <v>9.45000000000005</v>
      </c>
    </row>
    <row r="25" customFormat="false" ht="15" hidden="false" customHeight="true" outlineLevel="0" collapsed="false">
      <c r="A25" s="10" t="s">
        <v>65</v>
      </c>
      <c r="B25" s="11" t="n">
        <v>467</v>
      </c>
      <c r="C25" s="11" t="n">
        <v>429</v>
      </c>
      <c r="D25" s="12" t="n">
        <v>5204.55</v>
      </c>
      <c r="E25" s="12" t="n">
        <v>5171.73</v>
      </c>
      <c r="F25" s="12" t="n">
        <v>4982.78</v>
      </c>
      <c r="G25" s="12" t="n">
        <v>221.77</v>
      </c>
      <c r="H25" s="12" t="n">
        <v>0</v>
      </c>
      <c r="I25" s="12" t="n">
        <f aca="false">D25-F25</f>
        <v>221.77</v>
      </c>
    </row>
    <row r="26" customFormat="false" ht="15" hidden="false" customHeight="true" outlineLevel="0" collapsed="false">
      <c r="A26" s="6" t="s">
        <v>66</v>
      </c>
      <c r="B26" s="7" t="n">
        <v>361</v>
      </c>
      <c r="C26" s="7" t="n">
        <v>344</v>
      </c>
      <c r="D26" s="8" t="n">
        <v>3013.7</v>
      </c>
      <c r="E26" s="8" t="n">
        <v>3007.8</v>
      </c>
      <c r="F26" s="8" t="n">
        <v>3007.8</v>
      </c>
      <c r="G26" s="8" t="n">
        <v>5.9</v>
      </c>
      <c r="H26" s="8" t="n">
        <v>0</v>
      </c>
      <c r="I26" s="8" t="n">
        <f aca="false">D26-F26</f>
        <v>5.89999999999964</v>
      </c>
    </row>
    <row r="27" customFormat="false" ht="15" hidden="false" customHeight="true" outlineLevel="0" collapsed="false">
      <c r="A27" s="10" t="s">
        <v>67</v>
      </c>
      <c r="B27" s="11" t="n">
        <v>210</v>
      </c>
      <c r="C27" s="11" t="n">
        <v>203</v>
      </c>
      <c r="D27" s="12" t="n">
        <v>1985.25</v>
      </c>
      <c r="E27" s="12" t="n">
        <v>1985.25</v>
      </c>
      <c r="F27" s="12" t="n">
        <v>1923.95</v>
      </c>
      <c r="G27" s="12" t="n">
        <v>61.3</v>
      </c>
      <c r="H27" s="12" t="n">
        <v>0</v>
      </c>
      <c r="I27" s="12" t="n">
        <f aca="false">D27-F27</f>
        <v>61.3</v>
      </c>
    </row>
    <row r="28" customFormat="false" ht="15" hidden="false" customHeight="true" outlineLevel="0" collapsed="false">
      <c r="A28" s="6" t="s">
        <v>68</v>
      </c>
      <c r="B28" s="7" t="n">
        <v>415</v>
      </c>
      <c r="C28" s="7" t="n">
        <v>371</v>
      </c>
      <c r="D28" s="8" t="n">
        <v>7488</v>
      </c>
      <c r="E28" s="8" t="n">
        <v>7461.3</v>
      </c>
      <c r="F28" s="8" t="n">
        <v>7461.3</v>
      </c>
      <c r="G28" s="8" t="n">
        <v>26.7</v>
      </c>
      <c r="H28" s="8" t="n">
        <v>0</v>
      </c>
      <c r="I28" s="8" t="n">
        <f aca="false">D28-F28</f>
        <v>26.6999999999998</v>
      </c>
    </row>
    <row r="29" customFormat="false" ht="15" hidden="false" customHeight="true" outlineLevel="0" collapsed="false">
      <c r="A29" s="10" t="s">
        <v>69</v>
      </c>
      <c r="B29" s="11" t="n">
        <v>318</v>
      </c>
      <c r="C29" s="11" t="n">
        <v>268</v>
      </c>
      <c r="D29" s="12" t="n">
        <v>6389</v>
      </c>
      <c r="E29" s="12" t="n">
        <v>6134.9</v>
      </c>
      <c r="F29" s="12" t="n">
        <v>6134.9</v>
      </c>
      <c r="G29" s="12" t="n">
        <v>254.1</v>
      </c>
      <c r="H29" s="12" t="n">
        <v>0</v>
      </c>
      <c r="I29" s="12" t="n">
        <f aca="false">D29-F29</f>
        <v>254.1</v>
      </c>
    </row>
    <row r="30" customFormat="false" ht="15" hidden="false" customHeight="true" outlineLevel="0" collapsed="false">
      <c r="A30" s="6" t="s">
        <v>70</v>
      </c>
      <c r="B30" s="7" t="n">
        <v>163</v>
      </c>
      <c r="C30" s="7" t="n">
        <v>140</v>
      </c>
      <c r="D30" s="8" t="n">
        <v>4207</v>
      </c>
      <c r="E30" s="8" t="n">
        <v>4190</v>
      </c>
      <c r="F30" s="8" t="n">
        <v>4190</v>
      </c>
      <c r="G30" s="8" t="n">
        <v>17</v>
      </c>
      <c r="H30" s="8" t="n">
        <v>0</v>
      </c>
      <c r="I30" s="8" t="n">
        <f aca="false">D30-F30</f>
        <v>17</v>
      </c>
    </row>
    <row r="31" customFormat="false" ht="15" hidden="false" customHeight="true" outlineLevel="0" collapsed="false">
      <c r="A31" s="10" t="s">
        <v>71</v>
      </c>
      <c r="B31" s="11" t="n">
        <v>92</v>
      </c>
      <c r="C31" s="11" t="n">
        <v>76</v>
      </c>
      <c r="D31" s="12" t="n">
        <v>2544</v>
      </c>
      <c r="E31" s="12" t="n">
        <v>2489.6</v>
      </c>
      <c r="F31" s="12" t="n">
        <v>2420.6</v>
      </c>
      <c r="G31" s="12" t="n">
        <v>123.4</v>
      </c>
      <c r="H31" s="12" t="n">
        <v>0</v>
      </c>
      <c r="I31" s="12" t="n">
        <f aca="false">D31-F31</f>
        <v>123.4</v>
      </c>
    </row>
    <row r="32" customFormat="false" ht="15" hidden="false" customHeight="true" outlineLevel="0" collapsed="false">
      <c r="A32" s="6" t="s">
        <v>72</v>
      </c>
      <c r="B32" s="7" t="n">
        <v>43</v>
      </c>
      <c r="C32" s="7" t="n">
        <v>24</v>
      </c>
      <c r="D32" s="8" t="n">
        <v>727</v>
      </c>
      <c r="E32" s="8" t="n">
        <v>724</v>
      </c>
      <c r="F32" s="8" t="n">
        <v>684</v>
      </c>
      <c r="G32" s="8" t="n">
        <v>43</v>
      </c>
      <c r="H32" s="8" t="n">
        <v>0</v>
      </c>
      <c r="I32" s="8" t="n">
        <f aca="false">D32-F32</f>
        <v>43</v>
      </c>
    </row>
    <row r="33" customFormat="false" ht="15" hidden="false" customHeight="true" outlineLevel="0" collapsed="false">
      <c r="A33" s="10" t="s">
        <v>73</v>
      </c>
      <c r="B33" s="11" t="n">
        <v>124</v>
      </c>
      <c r="C33" s="11" t="n">
        <v>100</v>
      </c>
      <c r="D33" s="12" t="n">
        <v>2026</v>
      </c>
      <c r="E33" s="12" t="n">
        <v>2026</v>
      </c>
      <c r="F33" s="12" t="n">
        <v>2026</v>
      </c>
      <c r="G33" s="12" t="n">
        <v>0</v>
      </c>
      <c r="H33" s="12" t="n">
        <v>0</v>
      </c>
      <c r="I33" s="12" t="n">
        <f aca="false">D33-F33</f>
        <v>0</v>
      </c>
    </row>
    <row r="34" customFormat="false" ht="15" hidden="false" customHeight="true" outlineLevel="0" collapsed="false">
      <c r="A34" s="6" t="s">
        <v>74</v>
      </c>
      <c r="B34" s="7" t="n">
        <v>54</v>
      </c>
      <c r="C34" s="7" t="n">
        <v>53</v>
      </c>
      <c r="D34" s="8" t="n">
        <v>464.95</v>
      </c>
      <c r="E34" s="8" t="n">
        <v>464.95</v>
      </c>
      <c r="F34" s="8" t="n">
        <v>464.95</v>
      </c>
      <c r="G34" s="8" t="n">
        <v>0</v>
      </c>
      <c r="H34" s="8" t="n">
        <v>0</v>
      </c>
      <c r="I34" s="8" t="n">
        <f aca="false">D34-F34</f>
        <v>0</v>
      </c>
    </row>
    <row r="35" customFormat="false" ht="15" hidden="false" customHeight="true" outlineLevel="0" collapsed="false">
      <c r="A35" s="10" t="s">
        <v>75</v>
      </c>
      <c r="B35" s="11" t="n">
        <v>27</v>
      </c>
      <c r="C35" s="11" t="n">
        <v>4</v>
      </c>
      <c r="D35" s="12" t="n">
        <v>112.7</v>
      </c>
      <c r="E35" s="12" t="n">
        <v>94.06</v>
      </c>
      <c r="F35" s="12" t="n">
        <v>36.06</v>
      </c>
      <c r="G35" s="12" t="n">
        <v>76.64</v>
      </c>
      <c r="H35" s="12" t="n">
        <v>0</v>
      </c>
      <c r="I35" s="12" t="n">
        <f aca="false">D35-F35</f>
        <v>76.64</v>
      </c>
    </row>
    <row r="36" customFormat="false" ht="15" hidden="false" customHeight="true" outlineLevel="0" collapsed="false">
      <c r="A36" s="6" t="s">
        <v>76</v>
      </c>
      <c r="B36" s="7" t="n">
        <v>111</v>
      </c>
      <c r="C36" s="7" t="n">
        <v>105</v>
      </c>
      <c r="D36" s="8" t="n">
        <v>1318.85</v>
      </c>
      <c r="E36" s="8" t="n">
        <v>1314.73</v>
      </c>
      <c r="F36" s="8" t="n">
        <v>1291.53</v>
      </c>
      <c r="G36" s="8" t="n">
        <v>27.32</v>
      </c>
      <c r="H36" s="8" t="n">
        <v>0</v>
      </c>
      <c r="I36" s="8" t="n">
        <f aca="false">D36-F36</f>
        <v>27.3199999999999</v>
      </c>
    </row>
    <row r="37" customFormat="false" ht="15" hidden="false" customHeight="true" outlineLevel="0" collapsed="false">
      <c r="A37" s="19" t="s">
        <v>77</v>
      </c>
      <c r="B37" s="20" t="n">
        <f aca="false">SUM(B4:B36)</f>
        <v>6598</v>
      </c>
      <c r="C37" s="20" t="n">
        <f aca="false">SUM(C4:C36)</f>
        <v>6019</v>
      </c>
      <c r="D37" s="21" t="n">
        <f aca="false">SUM(D4:D36)</f>
        <v>82932.84</v>
      </c>
      <c r="E37" s="21" t="n">
        <f aca="false">SUM(E4:E36)</f>
        <v>82253.03</v>
      </c>
      <c r="F37" s="21" t="n">
        <f aca="false">SUM(F4:F36)</f>
        <v>81504.86</v>
      </c>
      <c r="G37" s="21" t="n">
        <f aca="false">SUM(G4:G36)</f>
        <v>1432.73</v>
      </c>
      <c r="H37" s="21" t="n">
        <f aca="false">SUM(H4:H36)</f>
        <v>4.75</v>
      </c>
      <c r="I37" s="21" t="n">
        <f aca="false">SUM(I4:I36)</f>
        <v>1427.98</v>
      </c>
    </row>
  </sheetData>
  <mergeCells count="2">
    <mergeCell ref="A1:I1"/>
    <mergeCell ref="A2:I2"/>
  </mergeCells>
  <conditionalFormatting sqref="G4:G36">
    <cfRule type="colorScale" priority="2">
      <colorScale>
        <cfvo type="min" val="0"/>
        <cfvo type="max" val="0"/>
        <color rgb="FFFFFFFF"/>
        <color rgb="FFFCA5A5"/>
      </colorScale>
    </cfRule>
  </conditionalFormatting>
  <conditionalFormatting sqref="H4:H36">
    <cfRule type="colorScale" priority="3">
      <colorScale>
        <cfvo type="min" val="0"/>
        <cfvo type="max" val="0"/>
        <color rgb="FFFFFFFF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4" min="3" style="1" width="17"/>
    <col collapsed="false" customWidth="true" hidden="false" outlineLevel="0" max="5" min="5" style="1" width="20"/>
    <col collapsed="false" customWidth="true" hidden="false" outlineLevel="0" max="7" min="6" style="1" width="15"/>
    <col collapsed="false" customWidth="true" hidden="false" outlineLevel="0" max="8" min="8" style="1" width="22"/>
  </cols>
  <sheetData>
    <row r="1" customFormat="false" ht="15.75" hidden="false" customHeight="true" outlineLevel="0" collapsed="false">
      <c r="A1" s="18" t="s">
        <v>78</v>
      </c>
      <c r="B1" s="18"/>
      <c r="C1" s="18"/>
      <c r="D1" s="18"/>
      <c r="E1" s="18"/>
      <c r="F1" s="18"/>
      <c r="G1" s="18"/>
      <c r="H1" s="18"/>
    </row>
    <row r="2" customFormat="false" ht="15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5" t="s">
        <v>79</v>
      </c>
      <c r="B3" s="5" t="s">
        <v>4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</row>
    <row r="4" customFormat="false" ht="15" hidden="false" customHeight="true" outlineLevel="0" collapsed="false">
      <c r="A4" s="6" t="s">
        <v>80</v>
      </c>
      <c r="B4" s="7" t="n">
        <v>1</v>
      </c>
      <c r="C4" s="8" t="n">
        <v>10.2</v>
      </c>
      <c r="D4" s="8" t="n">
        <v>10.2</v>
      </c>
      <c r="E4" s="8" t="n">
        <v>10.2</v>
      </c>
      <c r="F4" s="8" t="n">
        <v>0</v>
      </c>
      <c r="G4" s="8" t="n">
        <v>0</v>
      </c>
      <c r="H4" s="8" t="n">
        <f aca="false">C4-E4</f>
        <v>0</v>
      </c>
    </row>
    <row r="5" customFormat="false" ht="15" hidden="false" customHeight="true" outlineLevel="0" collapsed="false">
      <c r="A5" s="10" t="s">
        <v>81</v>
      </c>
      <c r="B5" s="11" t="n">
        <v>1</v>
      </c>
      <c r="C5" s="12" t="n">
        <v>6.25</v>
      </c>
      <c r="D5" s="12" t="n">
        <v>6.25</v>
      </c>
      <c r="E5" s="12" t="n">
        <v>6.25</v>
      </c>
      <c r="F5" s="12" t="n">
        <v>0</v>
      </c>
      <c r="G5" s="12" t="n">
        <v>0</v>
      </c>
      <c r="H5" s="12" t="n">
        <f aca="false">C5-E5</f>
        <v>0</v>
      </c>
    </row>
    <row r="6" customFormat="false" ht="15" hidden="false" customHeight="true" outlineLevel="0" collapsed="false">
      <c r="A6" s="6" t="s">
        <v>82</v>
      </c>
      <c r="B6" s="7" t="n">
        <v>3</v>
      </c>
      <c r="C6" s="8" t="n">
        <v>23.1</v>
      </c>
      <c r="D6" s="8" t="n">
        <v>23.1</v>
      </c>
      <c r="E6" s="8" t="n">
        <v>23.1</v>
      </c>
      <c r="F6" s="8" t="n">
        <v>0</v>
      </c>
      <c r="G6" s="8" t="n">
        <v>0</v>
      </c>
      <c r="H6" s="8" t="n">
        <f aca="false">C6-E6</f>
        <v>0</v>
      </c>
    </row>
    <row r="7" customFormat="false" ht="15" hidden="false" customHeight="true" outlineLevel="0" collapsed="false">
      <c r="A7" s="10" t="s">
        <v>83</v>
      </c>
      <c r="B7" s="11" t="n">
        <v>3</v>
      </c>
      <c r="C7" s="12" t="n">
        <v>15.65</v>
      </c>
      <c r="D7" s="12" t="n">
        <v>15.65</v>
      </c>
      <c r="E7" s="12" t="n">
        <v>15.65</v>
      </c>
      <c r="F7" s="12" t="n">
        <v>0</v>
      </c>
      <c r="G7" s="12" t="n">
        <v>0</v>
      </c>
      <c r="H7" s="12" t="n">
        <f aca="false">C7-E7</f>
        <v>0</v>
      </c>
    </row>
    <row r="8" customFormat="false" ht="15" hidden="false" customHeight="true" outlineLevel="0" collapsed="false">
      <c r="A8" s="6" t="s">
        <v>84</v>
      </c>
      <c r="B8" s="7" t="n">
        <v>1</v>
      </c>
      <c r="C8" s="8" t="n">
        <v>28.1</v>
      </c>
      <c r="D8" s="8" t="n">
        <v>28.1</v>
      </c>
      <c r="E8" s="8" t="n">
        <v>28.1</v>
      </c>
      <c r="F8" s="8" t="n">
        <v>0</v>
      </c>
      <c r="G8" s="8" t="n">
        <v>0</v>
      </c>
      <c r="H8" s="8" t="n">
        <f aca="false">C8-E8</f>
        <v>0</v>
      </c>
    </row>
    <row r="9" customFormat="false" ht="15" hidden="false" customHeight="true" outlineLevel="0" collapsed="false">
      <c r="A9" s="10" t="s">
        <v>85</v>
      </c>
      <c r="B9" s="11" t="n">
        <v>4</v>
      </c>
      <c r="C9" s="12" t="n">
        <v>25.05</v>
      </c>
      <c r="D9" s="12" t="n">
        <v>25.05</v>
      </c>
      <c r="E9" s="12" t="n">
        <v>25.05</v>
      </c>
      <c r="F9" s="12" t="n">
        <v>0</v>
      </c>
      <c r="G9" s="12" t="n">
        <v>0</v>
      </c>
      <c r="H9" s="12" t="n">
        <f aca="false">C9-E9</f>
        <v>0</v>
      </c>
    </row>
    <row r="10" customFormat="false" ht="15" hidden="false" customHeight="true" outlineLevel="0" collapsed="false">
      <c r="A10" s="6" t="s">
        <v>86</v>
      </c>
      <c r="B10" s="7" t="n">
        <v>2</v>
      </c>
      <c r="C10" s="8" t="n">
        <v>16.95</v>
      </c>
      <c r="D10" s="8" t="n">
        <v>16.95</v>
      </c>
      <c r="E10" s="8" t="n">
        <v>16.95</v>
      </c>
      <c r="F10" s="8" t="n">
        <v>0</v>
      </c>
      <c r="G10" s="8" t="n">
        <v>0</v>
      </c>
      <c r="H10" s="8" t="n">
        <f aca="false">C10-E10</f>
        <v>0</v>
      </c>
    </row>
    <row r="11" customFormat="false" ht="15" hidden="false" customHeight="true" outlineLevel="0" collapsed="false">
      <c r="A11" s="10" t="s">
        <v>87</v>
      </c>
      <c r="B11" s="11" t="n">
        <v>3</v>
      </c>
      <c r="C11" s="12" t="n">
        <v>21.4</v>
      </c>
      <c r="D11" s="12" t="n">
        <v>21.4</v>
      </c>
      <c r="E11" s="12" t="n">
        <v>21.4</v>
      </c>
      <c r="F11" s="12" t="n">
        <v>0</v>
      </c>
      <c r="G11" s="12" t="n">
        <v>0</v>
      </c>
      <c r="H11" s="12" t="n">
        <f aca="false">C11-E11</f>
        <v>0</v>
      </c>
    </row>
    <row r="12" customFormat="false" ht="15" hidden="false" customHeight="true" outlineLevel="0" collapsed="false">
      <c r="A12" s="6" t="s">
        <v>88</v>
      </c>
      <c r="B12" s="7" t="n">
        <v>7</v>
      </c>
      <c r="C12" s="8" t="n">
        <v>67.75</v>
      </c>
      <c r="D12" s="8" t="n">
        <v>67.75</v>
      </c>
      <c r="E12" s="8" t="n">
        <v>67.75</v>
      </c>
      <c r="F12" s="8" t="n">
        <v>0</v>
      </c>
      <c r="G12" s="8" t="n">
        <v>0</v>
      </c>
      <c r="H12" s="8" t="n">
        <f aca="false">C12-E12</f>
        <v>0</v>
      </c>
    </row>
    <row r="13" customFormat="false" ht="15" hidden="false" customHeight="true" outlineLevel="0" collapsed="false">
      <c r="A13" s="10" t="s">
        <v>89</v>
      </c>
      <c r="B13" s="11" t="n">
        <v>2</v>
      </c>
      <c r="C13" s="12" t="n">
        <v>36.6</v>
      </c>
      <c r="D13" s="12" t="n">
        <v>36.6</v>
      </c>
      <c r="E13" s="12" t="n">
        <v>36.6</v>
      </c>
      <c r="F13" s="12" t="n">
        <v>0</v>
      </c>
      <c r="G13" s="12" t="n">
        <v>0</v>
      </c>
      <c r="H13" s="12" t="n">
        <f aca="false">C13-E13</f>
        <v>0</v>
      </c>
    </row>
    <row r="14" customFormat="false" ht="15" hidden="false" customHeight="true" outlineLevel="0" collapsed="false">
      <c r="A14" s="6" t="s">
        <v>90</v>
      </c>
      <c r="B14" s="7" t="n">
        <v>3</v>
      </c>
      <c r="C14" s="8" t="n">
        <v>20.4</v>
      </c>
      <c r="D14" s="8" t="n">
        <v>20.4</v>
      </c>
      <c r="E14" s="8" t="n">
        <v>20.4</v>
      </c>
      <c r="F14" s="8" t="n">
        <v>0</v>
      </c>
      <c r="G14" s="8" t="n">
        <v>0</v>
      </c>
      <c r="H14" s="8" t="n">
        <f aca="false">C14-E14</f>
        <v>0</v>
      </c>
    </row>
    <row r="15" customFormat="false" ht="15" hidden="false" customHeight="true" outlineLevel="0" collapsed="false">
      <c r="A15" s="10" t="s">
        <v>91</v>
      </c>
      <c r="B15" s="11" t="n">
        <v>7</v>
      </c>
      <c r="C15" s="12" t="n">
        <v>29.75</v>
      </c>
      <c r="D15" s="12" t="n">
        <v>29.75</v>
      </c>
      <c r="E15" s="12" t="n">
        <v>29.75</v>
      </c>
      <c r="F15" s="12" t="n">
        <v>0</v>
      </c>
      <c r="G15" s="12" t="n">
        <v>0</v>
      </c>
      <c r="H15" s="12" t="n">
        <f aca="false">C15-E15</f>
        <v>0</v>
      </c>
    </row>
    <row r="16" customFormat="false" ht="15" hidden="false" customHeight="true" outlineLevel="0" collapsed="false">
      <c r="A16" s="6" t="s">
        <v>92</v>
      </c>
      <c r="B16" s="7" t="n">
        <v>5</v>
      </c>
      <c r="C16" s="8" t="n">
        <v>50.9</v>
      </c>
      <c r="D16" s="8" t="n">
        <v>50.9</v>
      </c>
      <c r="E16" s="8" t="n">
        <v>50.9</v>
      </c>
      <c r="F16" s="8" t="n">
        <v>0</v>
      </c>
      <c r="G16" s="8" t="n">
        <v>0</v>
      </c>
      <c r="H16" s="8" t="n">
        <f aca="false">C16-E16</f>
        <v>0</v>
      </c>
    </row>
    <row r="17" customFormat="false" ht="15" hidden="false" customHeight="true" outlineLevel="0" collapsed="false">
      <c r="A17" s="10" t="s">
        <v>93</v>
      </c>
      <c r="B17" s="11" t="n">
        <v>9</v>
      </c>
      <c r="C17" s="12" t="n">
        <v>80.3</v>
      </c>
      <c r="D17" s="12" t="n">
        <v>80.3</v>
      </c>
      <c r="E17" s="12" t="n">
        <v>80.3</v>
      </c>
      <c r="F17" s="12" t="n">
        <v>0</v>
      </c>
      <c r="G17" s="12" t="n">
        <v>0</v>
      </c>
      <c r="H17" s="12" t="n">
        <f aca="false">C17-E17</f>
        <v>0</v>
      </c>
    </row>
    <row r="18" customFormat="false" ht="15" hidden="false" customHeight="true" outlineLevel="0" collapsed="false">
      <c r="A18" s="6" t="s">
        <v>94</v>
      </c>
      <c r="B18" s="7" t="n">
        <v>5</v>
      </c>
      <c r="C18" s="8" t="n">
        <v>32.1</v>
      </c>
      <c r="D18" s="8" t="n">
        <v>32.1</v>
      </c>
      <c r="E18" s="8" t="n">
        <v>32.1</v>
      </c>
      <c r="F18" s="8" t="n">
        <v>0</v>
      </c>
      <c r="G18" s="8" t="n">
        <v>0</v>
      </c>
      <c r="H18" s="8" t="n">
        <f aca="false">C18-E18</f>
        <v>0</v>
      </c>
    </row>
    <row r="19" customFormat="false" ht="15" hidden="false" customHeight="true" outlineLevel="0" collapsed="false">
      <c r="A19" s="10" t="s">
        <v>95</v>
      </c>
      <c r="B19" s="11" t="n">
        <v>3</v>
      </c>
      <c r="C19" s="12" t="n">
        <v>17.85</v>
      </c>
      <c r="D19" s="12" t="n">
        <v>17.85</v>
      </c>
      <c r="E19" s="12" t="n">
        <v>17.85</v>
      </c>
      <c r="F19" s="12" t="n">
        <v>0</v>
      </c>
      <c r="G19" s="12" t="n">
        <v>0</v>
      </c>
      <c r="H19" s="12" t="n">
        <f aca="false">C19-E19</f>
        <v>0</v>
      </c>
    </row>
    <row r="20" customFormat="false" ht="15" hidden="false" customHeight="true" outlineLevel="0" collapsed="false">
      <c r="A20" s="6" t="s">
        <v>96</v>
      </c>
      <c r="B20" s="7" t="n">
        <v>5</v>
      </c>
      <c r="C20" s="8" t="n">
        <v>46.5</v>
      </c>
      <c r="D20" s="8" t="n">
        <v>46.5</v>
      </c>
      <c r="E20" s="8" t="n">
        <v>46.5</v>
      </c>
      <c r="F20" s="8" t="n">
        <v>0</v>
      </c>
      <c r="G20" s="8" t="n">
        <v>0</v>
      </c>
      <c r="H20" s="8" t="n">
        <f aca="false">C20-E20</f>
        <v>0</v>
      </c>
    </row>
    <row r="21" customFormat="false" ht="15" hidden="false" customHeight="true" outlineLevel="0" collapsed="false">
      <c r="A21" s="10" t="s">
        <v>97</v>
      </c>
      <c r="B21" s="11" t="n">
        <v>5</v>
      </c>
      <c r="C21" s="12" t="n">
        <v>37.3</v>
      </c>
      <c r="D21" s="12" t="n">
        <v>37.3</v>
      </c>
      <c r="E21" s="12" t="n">
        <v>26.1</v>
      </c>
      <c r="F21" s="12" t="n">
        <v>11.2</v>
      </c>
      <c r="G21" s="12" t="n">
        <v>0</v>
      </c>
      <c r="H21" s="12" t="n">
        <f aca="false">C21-E21</f>
        <v>11.2</v>
      </c>
    </row>
    <row r="22" customFormat="false" ht="15" hidden="false" customHeight="true" outlineLevel="0" collapsed="false">
      <c r="A22" s="6" t="s">
        <v>98</v>
      </c>
      <c r="B22" s="7" t="n">
        <v>3</v>
      </c>
      <c r="C22" s="8" t="n">
        <v>20.6</v>
      </c>
      <c r="D22" s="8" t="n">
        <v>20.6</v>
      </c>
      <c r="E22" s="8" t="n">
        <v>20.6</v>
      </c>
      <c r="F22" s="8" t="n">
        <v>0</v>
      </c>
      <c r="G22" s="8" t="n">
        <v>0</v>
      </c>
      <c r="H22" s="8" t="n">
        <f aca="false">C22-E22</f>
        <v>0</v>
      </c>
    </row>
    <row r="23" customFormat="false" ht="15" hidden="false" customHeight="true" outlineLevel="0" collapsed="false">
      <c r="A23" s="10" t="s">
        <v>99</v>
      </c>
      <c r="B23" s="11" t="n">
        <v>1</v>
      </c>
      <c r="C23" s="12" t="n">
        <v>11.2</v>
      </c>
      <c r="D23" s="12" t="n">
        <v>11.2</v>
      </c>
      <c r="E23" s="12" t="n">
        <v>11.2</v>
      </c>
      <c r="F23" s="12" t="n">
        <v>0</v>
      </c>
      <c r="G23" s="12" t="n">
        <v>0</v>
      </c>
      <c r="H23" s="12" t="n">
        <f aca="false">C23-E23</f>
        <v>0</v>
      </c>
    </row>
    <row r="24" customFormat="false" ht="15" hidden="false" customHeight="true" outlineLevel="0" collapsed="false">
      <c r="A24" s="6" t="s">
        <v>100</v>
      </c>
      <c r="B24" s="7" t="n">
        <v>3</v>
      </c>
      <c r="C24" s="8" t="n">
        <v>21.15</v>
      </c>
      <c r="D24" s="8" t="n">
        <v>21.15</v>
      </c>
      <c r="E24" s="8" t="n">
        <v>21.15</v>
      </c>
      <c r="F24" s="8" t="n">
        <v>0</v>
      </c>
      <c r="G24" s="8" t="n">
        <v>0</v>
      </c>
      <c r="H24" s="8" t="n">
        <f aca="false">C24-E24</f>
        <v>0</v>
      </c>
    </row>
    <row r="25" customFormat="false" ht="15" hidden="false" customHeight="true" outlineLevel="0" collapsed="false">
      <c r="A25" s="10" t="s">
        <v>101</v>
      </c>
      <c r="B25" s="11" t="n">
        <v>6</v>
      </c>
      <c r="C25" s="12" t="n">
        <v>55</v>
      </c>
      <c r="D25" s="12" t="n">
        <v>55</v>
      </c>
      <c r="E25" s="12" t="n">
        <v>55</v>
      </c>
      <c r="F25" s="12" t="n">
        <v>0</v>
      </c>
      <c r="G25" s="12" t="n">
        <v>0</v>
      </c>
      <c r="H25" s="12" t="n">
        <f aca="false">C25-E25</f>
        <v>0</v>
      </c>
    </row>
    <row r="26" customFormat="false" ht="15" hidden="false" customHeight="true" outlineLevel="0" collapsed="false">
      <c r="A26" s="6" t="s">
        <v>102</v>
      </c>
      <c r="B26" s="7" t="n">
        <v>2</v>
      </c>
      <c r="C26" s="8" t="n">
        <v>10.2</v>
      </c>
      <c r="D26" s="8" t="n">
        <v>10.2</v>
      </c>
      <c r="E26" s="8" t="n">
        <v>10.2</v>
      </c>
      <c r="F26" s="8" t="n">
        <v>0</v>
      </c>
      <c r="G26" s="8" t="n">
        <v>0</v>
      </c>
      <c r="H26" s="8" t="n">
        <f aca="false">C26-E26</f>
        <v>0</v>
      </c>
    </row>
    <row r="27" customFormat="false" ht="15" hidden="false" customHeight="true" outlineLevel="0" collapsed="false">
      <c r="A27" s="10" t="s">
        <v>103</v>
      </c>
      <c r="B27" s="11" t="n">
        <v>8</v>
      </c>
      <c r="C27" s="12" t="n">
        <v>100.8</v>
      </c>
      <c r="D27" s="12" t="n">
        <v>100.8</v>
      </c>
      <c r="E27" s="12" t="n">
        <v>100.8</v>
      </c>
      <c r="F27" s="12" t="n">
        <v>0</v>
      </c>
      <c r="G27" s="12" t="n">
        <v>0</v>
      </c>
      <c r="H27" s="12" t="n">
        <f aca="false">C27-E27</f>
        <v>0</v>
      </c>
    </row>
    <row r="28" customFormat="false" ht="15" hidden="false" customHeight="true" outlineLevel="0" collapsed="false">
      <c r="A28" s="6" t="s">
        <v>104</v>
      </c>
      <c r="B28" s="7" t="n">
        <v>4</v>
      </c>
      <c r="C28" s="8" t="n">
        <v>34.3</v>
      </c>
      <c r="D28" s="8" t="n">
        <v>34.3</v>
      </c>
      <c r="E28" s="8" t="n">
        <v>24.1</v>
      </c>
      <c r="F28" s="8" t="n">
        <v>10.2</v>
      </c>
      <c r="G28" s="8" t="n">
        <v>0</v>
      </c>
      <c r="H28" s="8" t="n">
        <f aca="false">C28-E28</f>
        <v>10.2</v>
      </c>
    </row>
    <row r="29" customFormat="false" ht="15" hidden="false" customHeight="true" outlineLevel="0" collapsed="false">
      <c r="A29" s="10" t="s">
        <v>105</v>
      </c>
      <c r="B29" s="11" t="n">
        <v>1</v>
      </c>
      <c r="C29" s="12" t="n">
        <v>4.95</v>
      </c>
      <c r="D29" s="12" t="n">
        <v>4.95</v>
      </c>
      <c r="E29" s="12" t="n">
        <v>4.95</v>
      </c>
      <c r="F29" s="12" t="n">
        <v>0</v>
      </c>
      <c r="G29" s="12" t="n">
        <v>0</v>
      </c>
      <c r="H29" s="12" t="n">
        <f aca="false">C29-E29</f>
        <v>0</v>
      </c>
    </row>
    <row r="30" customFormat="false" ht="15" hidden="false" customHeight="true" outlineLevel="0" collapsed="false">
      <c r="A30" s="6" t="s">
        <v>106</v>
      </c>
      <c r="B30" s="7" t="n">
        <v>1</v>
      </c>
      <c r="C30" s="8" t="n">
        <v>12.5</v>
      </c>
      <c r="D30" s="8" t="n">
        <v>12.5</v>
      </c>
      <c r="E30" s="8" t="n">
        <v>12.5</v>
      </c>
      <c r="F30" s="8" t="n">
        <v>0</v>
      </c>
      <c r="G30" s="8" t="n">
        <v>0</v>
      </c>
      <c r="H30" s="8" t="n">
        <f aca="false">C30-E30</f>
        <v>0</v>
      </c>
    </row>
    <row r="31" customFormat="false" ht="15" hidden="false" customHeight="true" outlineLevel="0" collapsed="false">
      <c r="A31" s="10" t="s">
        <v>107</v>
      </c>
      <c r="B31" s="11" t="n">
        <v>4</v>
      </c>
      <c r="C31" s="12" t="n">
        <v>31.4</v>
      </c>
      <c r="D31" s="12" t="n">
        <v>31.4</v>
      </c>
      <c r="E31" s="12" t="n">
        <v>31.4</v>
      </c>
      <c r="F31" s="12" t="n">
        <v>0</v>
      </c>
      <c r="G31" s="12" t="n">
        <v>0</v>
      </c>
      <c r="H31" s="12" t="n">
        <f aca="false">C31-E31</f>
        <v>0</v>
      </c>
    </row>
    <row r="32" customFormat="false" ht="15" hidden="false" customHeight="true" outlineLevel="0" collapsed="false">
      <c r="A32" s="6" t="s">
        <v>108</v>
      </c>
      <c r="B32" s="7" t="n">
        <v>6</v>
      </c>
      <c r="C32" s="8" t="n">
        <v>74.8</v>
      </c>
      <c r="D32" s="8" t="n">
        <v>74.8</v>
      </c>
      <c r="E32" s="8" t="n">
        <v>59.6</v>
      </c>
      <c r="F32" s="8" t="n">
        <v>15.2</v>
      </c>
      <c r="G32" s="8" t="n">
        <v>0</v>
      </c>
      <c r="H32" s="8" t="n">
        <f aca="false">C32-E32</f>
        <v>15.2</v>
      </c>
    </row>
    <row r="33" customFormat="false" ht="15" hidden="false" customHeight="true" outlineLevel="0" collapsed="false">
      <c r="A33" s="10" t="s">
        <v>109</v>
      </c>
      <c r="B33" s="11" t="n">
        <v>6</v>
      </c>
      <c r="C33" s="12" t="n">
        <v>90.1</v>
      </c>
      <c r="D33" s="12" t="n">
        <v>90.1</v>
      </c>
      <c r="E33" s="12" t="n">
        <v>71.65</v>
      </c>
      <c r="F33" s="12" t="n">
        <v>18.45</v>
      </c>
      <c r="G33" s="12" t="n">
        <v>0</v>
      </c>
      <c r="H33" s="12" t="n">
        <f aca="false">C33-E33</f>
        <v>18.45</v>
      </c>
    </row>
    <row r="34" customFormat="false" ht="15" hidden="false" customHeight="true" outlineLevel="0" collapsed="false">
      <c r="A34" s="6" t="s">
        <v>110</v>
      </c>
      <c r="B34" s="7" t="n">
        <v>2</v>
      </c>
      <c r="C34" s="8" t="n">
        <v>39.45</v>
      </c>
      <c r="D34" s="8" t="n">
        <v>39.45</v>
      </c>
      <c r="E34" s="8" t="n">
        <v>39.45</v>
      </c>
      <c r="F34" s="8" t="n">
        <v>0</v>
      </c>
      <c r="G34" s="8" t="n">
        <v>0</v>
      </c>
      <c r="H34" s="8" t="n">
        <f aca="false">C34-E34</f>
        <v>0</v>
      </c>
    </row>
    <row r="35" customFormat="false" ht="15" hidden="false" customHeight="true" outlineLevel="0" collapsed="false">
      <c r="A35" s="10" t="s">
        <v>111</v>
      </c>
      <c r="B35" s="11" t="n">
        <v>3</v>
      </c>
      <c r="C35" s="12" t="n">
        <v>25.15</v>
      </c>
      <c r="D35" s="12" t="n">
        <v>25.15</v>
      </c>
      <c r="E35" s="12" t="n">
        <v>25.15</v>
      </c>
      <c r="F35" s="12" t="n">
        <v>0</v>
      </c>
      <c r="G35" s="12" t="n">
        <v>0</v>
      </c>
      <c r="H35" s="12" t="n">
        <f aca="false">C35-E35</f>
        <v>0</v>
      </c>
    </row>
    <row r="36" customFormat="false" ht="15" hidden="false" customHeight="true" outlineLevel="0" collapsed="false">
      <c r="A36" s="6" t="s">
        <v>112</v>
      </c>
      <c r="B36" s="7" t="n">
        <v>4</v>
      </c>
      <c r="C36" s="8" t="n">
        <v>33.1</v>
      </c>
      <c r="D36" s="8" t="n">
        <v>33.1</v>
      </c>
      <c r="E36" s="8" t="n">
        <v>33.1</v>
      </c>
      <c r="F36" s="8" t="n">
        <v>0</v>
      </c>
      <c r="G36" s="8" t="n">
        <v>0</v>
      </c>
      <c r="H36" s="8" t="n">
        <f aca="false">C36-E36</f>
        <v>0</v>
      </c>
    </row>
    <row r="37" customFormat="false" ht="15" hidden="false" customHeight="true" outlineLevel="0" collapsed="false">
      <c r="A37" s="10" t="s">
        <v>113</v>
      </c>
      <c r="B37" s="11" t="n">
        <v>3</v>
      </c>
      <c r="C37" s="12" t="n">
        <v>22.4</v>
      </c>
      <c r="D37" s="12" t="n">
        <v>22.4</v>
      </c>
      <c r="E37" s="12" t="n">
        <v>16.15</v>
      </c>
      <c r="F37" s="12" t="n">
        <v>6.25</v>
      </c>
      <c r="G37" s="12" t="n">
        <v>0</v>
      </c>
      <c r="H37" s="12" t="n">
        <f aca="false">C37-E37</f>
        <v>6.25</v>
      </c>
    </row>
    <row r="38" customFormat="false" ht="15" hidden="false" customHeight="true" outlineLevel="0" collapsed="false">
      <c r="A38" s="6" t="s">
        <v>114</v>
      </c>
      <c r="B38" s="7" t="n">
        <v>2</v>
      </c>
      <c r="C38" s="8" t="n">
        <v>15.15</v>
      </c>
      <c r="D38" s="8" t="n">
        <v>15.15</v>
      </c>
      <c r="E38" s="8" t="n">
        <v>15.15</v>
      </c>
      <c r="F38" s="8" t="n">
        <v>0</v>
      </c>
      <c r="G38" s="8" t="n">
        <v>0</v>
      </c>
      <c r="H38" s="8" t="n">
        <f aca="false">C38-E38</f>
        <v>0</v>
      </c>
    </row>
    <row r="39" customFormat="false" ht="15" hidden="false" customHeight="true" outlineLevel="0" collapsed="false">
      <c r="A39" s="10" t="s">
        <v>115</v>
      </c>
      <c r="B39" s="11" t="n">
        <v>2</v>
      </c>
      <c r="C39" s="12" t="n">
        <v>9.9</v>
      </c>
      <c r="D39" s="12" t="n">
        <v>9.9</v>
      </c>
      <c r="E39" s="12" t="n">
        <v>9.9</v>
      </c>
      <c r="F39" s="12" t="n">
        <v>0</v>
      </c>
      <c r="G39" s="12" t="n">
        <v>0</v>
      </c>
      <c r="H39" s="12" t="n">
        <f aca="false">C39-E39</f>
        <v>0</v>
      </c>
    </row>
    <row r="40" customFormat="false" ht="15" hidden="false" customHeight="true" outlineLevel="0" collapsed="false">
      <c r="A40" s="6" t="s">
        <v>116</v>
      </c>
      <c r="B40" s="7" t="n">
        <v>2</v>
      </c>
      <c r="C40" s="8" t="n">
        <v>34.7</v>
      </c>
      <c r="D40" s="8" t="n">
        <v>34.7</v>
      </c>
      <c r="E40" s="8" t="n">
        <v>34.7</v>
      </c>
      <c r="F40" s="8" t="n">
        <v>0</v>
      </c>
      <c r="G40" s="8" t="n">
        <v>0</v>
      </c>
      <c r="H40" s="8" t="n">
        <f aca="false">C40-E40</f>
        <v>0</v>
      </c>
    </row>
    <row r="41" customFormat="false" ht="15" hidden="false" customHeight="true" outlineLevel="0" collapsed="false">
      <c r="A41" s="10" t="s">
        <v>117</v>
      </c>
      <c r="B41" s="11" t="n">
        <v>2</v>
      </c>
      <c r="C41" s="12" t="n">
        <v>22.2</v>
      </c>
      <c r="D41" s="12" t="n">
        <v>22.2</v>
      </c>
      <c r="E41" s="12" t="n">
        <v>22.2</v>
      </c>
      <c r="F41" s="12" t="n">
        <v>0</v>
      </c>
      <c r="G41" s="12" t="n">
        <v>0</v>
      </c>
      <c r="H41" s="12" t="n">
        <f aca="false">C41-E41</f>
        <v>0</v>
      </c>
    </row>
    <row r="42" customFormat="false" ht="15" hidden="false" customHeight="true" outlineLevel="0" collapsed="false">
      <c r="A42" s="6" t="s">
        <v>118</v>
      </c>
      <c r="B42" s="7" t="n">
        <v>2</v>
      </c>
      <c r="C42" s="8" t="n">
        <v>12.2</v>
      </c>
      <c r="D42" s="8" t="n">
        <v>12.2</v>
      </c>
      <c r="E42" s="8" t="n">
        <v>12.2</v>
      </c>
      <c r="F42" s="8" t="n">
        <v>0</v>
      </c>
      <c r="G42" s="8" t="n">
        <v>0</v>
      </c>
      <c r="H42" s="8" t="n">
        <f aca="false">C42-E42</f>
        <v>0</v>
      </c>
    </row>
    <row r="43" customFormat="false" ht="15" hidden="false" customHeight="true" outlineLevel="0" collapsed="false">
      <c r="A43" s="10" t="s">
        <v>119</v>
      </c>
      <c r="B43" s="11" t="n">
        <v>3</v>
      </c>
      <c r="C43" s="12" t="n">
        <v>19.85</v>
      </c>
      <c r="D43" s="12" t="n">
        <v>19.85</v>
      </c>
      <c r="E43" s="12" t="n">
        <v>19.85</v>
      </c>
      <c r="F43" s="12" t="n">
        <v>0</v>
      </c>
      <c r="G43" s="12" t="n">
        <v>0</v>
      </c>
      <c r="H43" s="12" t="n">
        <f aca="false">C43-E43</f>
        <v>0</v>
      </c>
    </row>
    <row r="44" customFormat="false" ht="15" hidden="false" customHeight="true" outlineLevel="0" collapsed="false">
      <c r="A44" s="6" t="s">
        <v>120</v>
      </c>
      <c r="B44" s="7" t="n">
        <v>1</v>
      </c>
      <c r="C44" s="8" t="n">
        <v>5.25</v>
      </c>
      <c r="D44" s="8" t="n">
        <v>5.25</v>
      </c>
      <c r="E44" s="8" t="n">
        <v>5.25</v>
      </c>
      <c r="F44" s="8" t="n">
        <v>0</v>
      </c>
      <c r="G44" s="8" t="n">
        <v>0</v>
      </c>
      <c r="H44" s="8" t="n">
        <f aca="false">C44-E44</f>
        <v>0</v>
      </c>
    </row>
    <row r="45" customFormat="false" ht="15" hidden="false" customHeight="true" outlineLevel="0" collapsed="false">
      <c r="A45" s="10" t="s">
        <v>121</v>
      </c>
      <c r="B45" s="11" t="n">
        <v>2</v>
      </c>
      <c r="C45" s="12" t="n">
        <v>34.55</v>
      </c>
      <c r="D45" s="12" t="n">
        <v>34.55</v>
      </c>
      <c r="E45" s="12" t="n">
        <v>34.55</v>
      </c>
      <c r="F45" s="12" t="n">
        <v>0</v>
      </c>
      <c r="G45" s="12" t="n">
        <v>0</v>
      </c>
      <c r="H45" s="12" t="n">
        <f aca="false">C45-E45</f>
        <v>0</v>
      </c>
    </row>
    <row r="46" customFormat="false" ht="15" hidden="false" customHeight="true" outlineLevel="0" collapsed="false">
      <c r="A46" s="6" t="s">
        <v>122</v>
      </c>
      <c r="B46" s="7" t="n">
        <v>2</v>
      </c>
      <c r="C46" s="8" t="n">
        <v>33.05</v>
      </c>
      <c r="D46" s="8" t="n">
        <v>33.05</v>
      </c>
      <c r="E46" s="8" t="n">
        <v>33.05</v>
      </c>
      <c r="F46" s="8" t="n">
        <v>0</v>
      </c>
      <c r="G46" s="8" t="n">
        <v>0</v>
      </c>
      <c r="H46" s="8" t="n">
        <f aca="false">C46-E46</f>
        <v>0</v>
      </c>
    </row>
    <row r="47" customFormat="false" ht="15" hidden="false" customHeight="true" outlineLevel="0" collapsed="false">
      <c r="A47" s="10" t="s">
        <v>123</v>
      </c>
      <c r="B47" s="11" t="n">
        <v>1</v>
      </c>
      <c r="C47" s="12" t="n">
        <v>19.75</v>
      </c>
      <c r="D47" s="12" t="n">
        <v>19.75</v>
      </c>
      <c r="E47" s="12" t="n">
        <v>19.75</v>
      </c>
      <c r="F47" s="12" t="n">
        <v>0</v>
      </c>
      <c r="G47" s="12" t="n">
        <v>0</v>
      </c>
      <c r="H47" s="12" t="n">
        <f aca="false">C47-E47</f>
        <v>0</v>
      </c>
    </row>
    <row r="48" customFormat="false" ht="15" hidden="false" customHeight="true" outlineLevel="0" collapsed="false">
      <c r="A48" s="6" t="s">
        <v>124</v>
      </c>
      <c r="B48" s="7" t="n">
        <v>1</v>
      </c>
      <c r="C48" s="8" t="n">
        <v>15.25</v>
      </c>
      <c r="D48" s="8" t="n">
        <v>15.25</v>
      </c>
      <c r="E48" s="8" t="n">
        <v>15.25</v>
      </c>
      <c r="F48" s="8" t="n">
        <v>0</v>
      </c>
      <c r="G48" s="8" t="n">
        <v>0</v>
      </c>
      <c r="H48" s="8" t="n">
        <f aca="false">C48-E48</f>
        <v>0</v>
      </c>
    </row>
    <row r="49" customFormat="false" ht="15" hidden="false" customHeight="true" outlineLevel="0" collapsed="false">
      <c r="A49" s="10" t="s">
        <v>125</v>
      </c>
      <c r="B49" s="11" t="n">
        <v>1</v>
      </c>
      <c r="C49" s="12" t="n">
        <v>20.65</v>
      </c>
      <c r="D49" s="12" t="n">
        <v>20.65</v>
      </c>
      <c r="E49" s="12" t="n">
        <v>20.65</v>
      </c>
      <c r="F49" s="12" t="n">
        <v>0</v>
      </c>
      <c r="G49" s="12" t="n">
        <v>0</v>
      </c>
      <c r="H49" s="12" t="n">
        <f aca="false">C49-E49</f>
        <v>0</v>
      </c>
    </row>
    <row r="50" customFormat="false" ht="15" hidden="false" customHeight="true" outlineLevel="0" collapsed="false">
      <c r="A50" s="6" t="s">
        <v>126</v>
      </c>
      <c r="B50" s="7" t="n">
        <v>1</v>
      </c>
      <c r="C50" s="8" t="n">
        <v>6.75</v>
      </c>
      <c r="D50" s="8" t="n">
        <v>6.75</v>
      </c>
      <c r="E50" s="8" t="n">
        <v>6.75</v>
      </c>
      <c r="F50" s="8" t="n">
        <v>0</v>
      </c>
      <c r="G50" s="8" t="n">
        <v>0</v>
      </c>
      <c r="H50" s="8" t="n">
        <f aca="false">C50-E50</f>
        <v>0</v>
      </c>
    </row>
    <row r="51" customFormat="false" ht="15" hidden="false" customHeight="true" outlineLevel="0" collapsed="false">
      <c r="A51" s="10" t="s">
        <v>127</v>
      </c>
      <c r="B51" s="11" t="n">
        <v>2</v>
      </c>
      <c r="C51" s="12" t="n">
        <v>16.15</v>
      </c>
      <c r="D51" s="12" t="n">
        <v>16.15</v>
      </c>
      <c r="E51" s="12" t="n">
        <v>16.15</v>
      </c>
      <c r="F51" s="12" t="n">
        <v>0</v>
      </c>
      <c r="G51" s="12" t="n">
        <v>0</v>
      </c>
      <c r="H51" s="12" t="n">
        <f aca="false">C51-E51</f>
        <v>0</v>
      </c>
    </row>
    <row r="52" customFormat="false" ht="15" hidden="false" customHeight="true" outlineLevel="0" collapsed="false">
      <c r="A52" s="6" t="s">
        <v>128</v>
      </c>
      <c r="B52" s="7" t="n">
        <v>2</v>
      </c>
      <c r="C52" s="8" t="n">
        <v>8.9</v>
      </c>
      <c r="D52" s="8" t="n">
        <v>8.9</v>
      </c>
      <c r="E52" s="8" t="n">
        <v>8.9</v>
      </c>
      <c r="F52" s="8" t="n">
        <v>0</v>
      </c>
      <c r="G52" s="8" t="n">
        <v>0</v>
      </c>
      <c r="H52" s="8" t="n">
        <f aca="false">C52-E52</f>
        <v>0</v>
      </c>
    </row>
    <row r="53" customFormat="false" ht="15" hidden="false" customHeight="true" outlineLevel="0" collapsed="false">
      <c r="A53" s="10" t="s">
        <v>129</v>
      </c>
      <c r="B53" s="11" t="n">
        <v>2</v>
      </c>
      <c r="C53" s="12" t="n">
        <v>13.9</v>
      </c>
      <c r="D53" s="12" t="n">
        <v>13.9</v>
      </c>
      <c r="E53" s="12" t="n">
        <v>13.9</v>
      </c>
      <c r="F53" s="12" t="n">
        <v>0</v>
      </c>
      <c r="G53" s="12" t="n">
        <v>0</v>
      </c>
      <c r="H53" s="12" t="n">
        <f aca="false">C53-E53</f>
        <v>0</v>
      </c>
    </row>
    <row r="54" customFormat="false" ht="15" hidden="false" customHeight="true" outlineLevel="0" collapsed="false">
      <c r="A54" s="6" t="s">
        <v>130</v>
      </c>
      <c r="B54" s="7" t="n">
        <v>1</v>
      </c>
      <c r="C54" s="8" t="n">
        <v>14.95</v>
      </c>
      <c r="D54" s="8" t="n">
        <v>14.95</v>
      </c>
      <c r="E54" s="8" t="n">
        <v>14.95</v>
      </c>
      <c r="F54" s="8" t="n">
        <v>0</v>
      </c>
      <c r="G54" s="8" t="n">
        <v>0</v>
      </c>
      <c r="H54" s="8" t="n">
        <f aca="false">C54-E54</f>
        <v>0</v>
      </c>
    </row>
    <row r="55" customFormat="false" ht="15" hidden="false" customHeight="true" outlineLevel="0" collapsed="false">
      <c r="A55" s="10" t="s">
        <v>131</v>
      </c>
      <c r="B55" s="11" t="n">
        <v>2</v>
      </c>
      <c r="C55" s="12" t="n">
        <v>38.6</v>
      </c>
      <c r="D55" s="12" t="n">
        <v>38.6</v>
      </c>
      <c r="E55" s="12" t="n">
        <v>38.6</v>
      </c>
      <c r="F55" s="12" t="n">
        <v>0</v>
      </c>
      <c r="G55" s="12" t="n">
        <v>0</v>
      </c>
      <c r="H55" s="12" t="n">
        <f aca="false">C55-E55</f>
        <v>0</v>
      </c>
    </row>
    <row r="56" customFormat="false" ht="15" hidden="false" customHeight="true" outlineLevel="0" collapsed="false">
      <c r="A56" s="6" t="s">
        <v>132</v>
      </c>
      <c r="B56" s="7" t="n">
        <v>5</v>
      </c>
      <c r="C56" s="8" t="n">
        <v>88</v>
      </c>
      <c r="D56" s="8" t="n">
        <v>88</v>
      </c>
      <c r="E56" s="8" t="n">
        <v>88</v>
      </c>
      <c r="F56" s="8" t="n">
        <v>0</v>
      </c>
      <c r="G56" s="8" t="n">
        <v>0</v>
      </c>
      <c r="H56" s="8" t="n">
        <f aca="false">C56-E56</f>
        <v>0</v>
      </c>
    </row>
    <row r="57" customFormat="false" ht="15" hidden="false" customHeight="true" outlineLevel="0" collapsed="false">
      <c r="A57" s="10" t="s">
        <v>133</v>
      </c>
      <c r="B57" s="11" t="n">
        <v>4</v>
      </c>
      <c r="C57" s="12" t="n">
        <v>31.9</v>
      </c>
      <c r="D57" s="12" t="n">
        <v>31.9</v>
      </c>
      <c r="E57" s="12" t="n">
        <v>31.9</v>
      </c>
      <c r="F57" s="12" t="n">
        <v>0</v>
      </c>
      <c r="G57" s="12" t="n">
        <v>0</v>
      </c>
      <c r="H57" s="12" t="n">
        <f aca="false">C57-E57</f>
        <v>0</v>
      </c>
    </row>
    <row r="58" customFormat="false" ht="15" hidden="false" customHeight="true" outlineLevel="0" collapsed="false">
      <c r="A58" s="6" t="s">
        <v>134</v>
      </c>
      <c r="B58" s="7" t="n">
        <v>2</v>
      </c>
      <c r="C58" s="8" t="n">
        <v>21.1</v>
      </c>
      <c r="D58" s="8" t="n">
        <v>21.1</v>
      </c>
      <c r="E58" s="8" t="n">
        <v>21.1</v>
      </c>
      <c r="F58" s="8" t="n">
        <v>0</v>
      </c>
      <c r="G58" s="8" t="n">
        <v>0</v>
      </c>
      <c r="H58" s="8" t="n">
        <f aca="false">C58-E58</f>
        <v>0</v>
      </c>
    </row>
    <row r="59" customFormat="false" ht="15" hidden="false" customHeight="true" outlineLevel="0" collapsed="false">
      <c r="A59" s="10" t="s">
        <v>135</v>
      </c>
      <c r="B59" s="11" t="n">
        <v>1</v>
      </c>
      <c r="C59" s="12" t="n">
        <v>15.45</v>
      </c>
      <c r="D59" s="12" t="n">
        <v>15.45</v>
      </c>
      <c r="E59" s="12" t="n">
        <v>15.45</v>
      </c>
      <c r="F59" s="12" t="n">
        <v>0</v>
      </c>
      <c r="G59" s="12" t="n">
        <v>0</v>
      </c>
      <c r="H59" s="12" t="n">
        <f aca="false">C59-E59</f>
        <v>0</v>
      </c>
    </row>
    <row r="60" customFormat="false" ht="15" hidden="false" customHeight="true" outlineLevel="0" collapsed="false">
      <c r="A60" s="6" t="s">
        <v>136</v>
      </c>
      <c r="B60" s="7" t="n">
        <v>1</v>
      </c>
      <c r="C60" s="8" t="n">
        <v>6.95</v>
      </c>
      <c r="D60" s="8" t="n">
        <v>6.95</v>
      </c>
      <c r="E60" s="8" t="n">
        <v>6.95</v>
      </c>
      <c r="F60" s="8" t="n">
        <v>0</v>
      </c>
      <c r="G60" s="8" t="n">
        <v>0</v>
      </c>
      <c r="H60" s="8" t="n">
        <f aca="false">C60-E60</f>
        <v>0</v>
      </c>
    </row>
    <row r="61" customFormat="false" ht="15" hidden="false" customHeight="true" outlineLevel="0" collapsed="false">
      <c r="A61" s="10" t="s">
        <v>137</v>
      </c>
      <c r="B61" s="11" t="n">
        <v>3</v>
      </c>
      <c r="C61" s="12" t="n">
        <v>35.9</v>
      </c>
      <c r="D61" s="12" t="n">
        <v>35.9</v>
      </c>
      <c r="E61" s="12" t="n">
        <v>35.9</v>
      </c>
      <c r="F61" s="12" t="n">
        <v>0</v>
      </c>
      <c r="G61" s="12" t="n">
        <v>0</v>
      </c>
      <c r="H61" s="12" t="n">
        <f aca="false">C61-E61</f>
        <v>0</v>
      </c>
    </row>
    <row r="62" customFormat="false" ht="15" hidden="false" customHeight="true" outlineLevel="0" collapsed="false">
      <c r="A62" s="6" t="s">
        <v>138</v>
      </c>
      <c r="B62" s="7" t="n">
        <v>4</v>
      </c>
      <c r="C62" s="8" t="n">
        <v>38.6</v>
      </c>
      <c r="D62" s="8" t="n">
        <v>38.6</v>
      </c>
      <c r="E62" s="8" t="n">
        <v>38.6</v>
      </c>
      <c r="F62" s="8" t="n">
        <v>0</v>
      </c>
      <c r="G62" s="8" t="n">
        <v>0</v>
      </c>
      <c r="H62" s="8" t="n">
        <f aca="false">C62-E62</f>
        <v>0</v>
      </c>
    </row>
    <row r="63" customFormat="false" ht="15" hidden="false" customHeight="true" outlineLevel="0" collapsed="false">
      <c r="A63" s="10" t="s">
        <v>139</v>
      </c>
      <c r="B63" s="11" t="n">
        <v>4</v>
      </c>
      <c r="C63" s="12" t="n">
        <v>32.8</v>
      </c>
      <c r="D63" s="12" t="n">
        <v>32.8</v>
      </c>
      <c r="E63" s="12" t="n">
        <v>32.8</v>
      </c>
      <c r="F63" s="12" t="n">
        <v>0</v>
      </c>
      <c r="G63" s="12" t="n">
        <v>0</v>
      </c>
      <c r="H63" s="12" t="n">
        <f aca="false">C63-E63</f>
        <v>0</v>
      </c>
    </row>
    <row r="64" customFormat="false" ht="15" hidden="false" customHeight="true" outlineLevel="0" collapsed="false">
      <c r="A64" s="6" t="s">
        <v>140</v>
      </c>
      <c r="B64" s="7" t="n">
        <v>5</v>
      </c>
      <c r="C64" s="8" t="n">
        <v>42.3</v>
      </c>
      <c r="D64" s="8" t="n">
        <v>42.3</v>
      </c>
      <c r="E64" s="8" t="n">
        <v>42.3</v>
      </c>
      <c r="F64" s="8" t="n">
        <v>0</v>
      </c>
      <c r="G64" s="8" t="n">
        <v>0</v>
      </c>
      <c r="H64" s="8" t="n">
        <f aca="false">C64-E64</f>
        <v>0</v>
      </c>
    </row>
    <row r="65" customFormat="false" ht="15" hidden="false" customHeight="true" outlineLevel="0" collapsed="false">
      <c r="A65" s="10" t="s">
        <v>141</v>
      </c>
      <c r="B65" s="11" t="n">
        <v>4</v>
      </c>
      <c r="C65" s="12" t="n">
        <v>58.35</v>
      </c>
      <c r="D65" s="12" t="n">
        <v>58.35</v>
      </c>
      <c r="E65" s="12" t="n">
        <v>58.35</v>
      </c>
      <c r="F65" s="12" t="n">
        <v>0</v>
      </c>
      <c r="G65" s="12" t="n">
        <v>0</v>
      </c>
      <c r="H65" s="12" t="n">
        <f aca="false">C65-E65</f>
        <v>0</v>
      </c>
    </row>
    <row r="66" customFormat="false" ht="15" hidden="false" customHeight="true" outlineLevel="0" collapsed="false">
      <c r="A66" s="6" t="s">
        <v>142</v>
      </c>
      <c r="B66" s="7" t="n">
        <v>3</v>
      </c>
      <c r="C66" s="8" t="n">
        <v>13.15</v>
      </c>
      <c r="D66" s="8" t="n">
        <v>13.15</v>
      </c>
      <c r="E66" s="8" t="n">
        <v>13.15</v>
      </c>
      <c r="F66" s="8" t="n">
        <v>0</v>
      </c>
      <c r="G66" s="8" t="n">
        <v>0</v>
      </c>
      <c r="H66" s="8" t="n">
        <f aca="false">C66-E66</f>
        <v>0</v>
      </c>
    </row>
    <row r="67" customFormat="false" ht="15" hidden="false" customHeight="true" outlineLevel="0" collapsed="false">
      <c r="A67" s="10" t="s">
        <v>143</v>
      </c>
      <c r="B67" s="11" t="n">
        <v>1</v>
      </c>
      <c r="C67" s="12" t="n">
        <v>3.95</v>
      </c>
      <c r="D67" s="12" t="n">
        <v>3.95</v>
      </c>
      <c r="E67" s="12" t="n">
        <v>3.95</v>
      </c>
      <c r="F67" s="12" t="n">
        <v>0</v>
      </c>
      <c r="G67" s="12" t="n">
        <v>0</v>
      </c>
      <c r="H67" s="12" t="n">
        <f aca="false">C67-E67</f>
        <v>0</v>
      </c>
    </row>
    <row r="68" customFormat="false" ht="15" hidden="false" customHeight="true" outlineLevel="0" collapsed="false">
      <c r="A68" s="6" t="s">
        <v>144</v>
      </c>
      <c r="B68" s="7" t="n">
        <v>1</v>
      </c>
      <c r="C68" s="8" t="n">
        <v>6.95</v>
      </c>
      <c r="D68" s="8" t="n">
        <v>6.95</v>
      </c>
      <c r="E68" s="8" t="n">
        <v>6.95</v>
      </c>
      <c r="F68" s="8" t="n">
        <v>0</v>
      </c>
      <c r="G68" s="8" t="n">
        <v>0</v>
      </c>
      <c r="H68" s="8" t="n">
        <f aca="false">C68-E68</f>
        <v>0</v>
      </c>
    </row>
    <row r="69" customFormat="false" ht="15" hidden="false" customHeight="true" outlineLevel="0" collapsed="false">
      <c r="A69" s="10" t="s">
        <v>145</v>
      </c>
      <c r="B69" s="11" t="n">
        <v>2</v>
      </c>
      <c r="C69" s="12" t="n">
        <v>12</v>
      </c>
      <c r="D69" s="12" t="n">
        <v>12</v>
      </c>
      <c r="E69" s="12" t="n">
        <v>12</v>
      </c>
      <c r="F69" s="12" t="n">
        <v>0</v>
      </c>
      <c r="G69" s="12" t="n">
        <v>0</v>
      </c>
      <c r="H69" s="12" t="n">
        <f aca="false">C69-E69</f>
        <v>0</v>
      </c>
    </row>
    <row r="70" customFormat="false" ht="15" hidden="false" customHeight="true" outlineLevel="0" collapsed="false">
      <c r="A70" s="6" t="s">
        <v>146</v>
      </c>
      <c r="B70" s="7" t="n">
        <v>3</v>
      </c>
      <c r="C70" s="8" t="n">
        <v>14.65</v>
      </c>
      <c r="D70" s="8" t="n">
        <v>14.65</v>
      </c>
      <c r="E70" s="8" t="n">
        <v>14.65</v>
      </c>
      <c r="F70" s="8" t="n">
        <v>0</v>
      </c>
      <c r="G70" s="8" t="n">
        <v>0</v>
      </c>
      <c r="H70" s="8" t="n">
        <f aca="false">C70-E70</f>
        <v>0</v>
      </c>
    </row>
    <row r="71" customFormat="false" ht="15" hidden="false" customHeight="true" outlineLevel="0" collapsed="false">
      <c r="A71" s="10" t="s">
        <v>147</v>
      </c>
      <c r="B71" s="11" t="n">
        <v>6</v>
      </c>
      <c r="C71" s="12" t="n">
        <v>45.1</v>
      </c>
      <c r="D71" s="12" t="n">
        <v>45.1</v>
      </c>
      <c r="E71" s="12" t="n">
        <v>45.1</v>
      </c>
      <c r="F71" s="12" t="n">
        <v>0</v>
      </c>
      <c r="G71" s="12" t="n">
        <v>0</v>
      </c>
      <c r="H71" s="12" t="n">
        <f aca="false">C71-E71</f>
        <v>0</v>
      </c>
    </row>
    <row r="72" customFormat="false" ht="15" hidden="false" customHeight="true" outlineLevel="0" collapsed="false">
      <c r="A72" s="6" t="s">
        <v>148</v>
      </c>
      <c r="B72" s="7" t="n">
        <v>4</v>
      </c>
      <c r="C72" s="8" t="n">
        <v>23.1</v>
      </c>
      <c r="D72" s="8" t="n">
        <v>23.1</v>
      </c>
      <c r="E72" s="8" t="n">
        <v>23.1</v>
      </c>
      <c r="F72" s="8" t="n">
        <v>0</v>
      </c>
      <c r="G72" s="8" t="n">
        <v>0</v>
      </c>
      <c r="H72" s="8" t="n">
        <f aca="false">C72-E72</f>
        <v>0</v>
      </c>
    </row>
    <row r="73" customFormat="false" ht="15" hidden="false" customHeight="true" outlineLevel="0" collapsed="false">
      <c r="A73" s="19" t="s">
        <v>77</v>
      </c>
      <c r="B73" s="20" t="n">
        <f aca="false">SUM(B4:B72)</f>
        <v>210</v>
      </c>
      <c r="C73" s="21" t="n">
        <f aca="false">SUM(C4:C72)</f>
        <v>1985.25</v>
      </c>
      <c r="D73" s="21" t="n">
        <f aca="false">SUM(D4:D72)</f>
        <v>1985.25</v>
      </c>
      <c r="E73" s="21" t="n">
        <f aca="false">SUM(E4:E72)</f>
        <v>1923.95</v>
      </c>
      <c r="F73" s="21" t="n">
        <f aca="false">SUM(F4:F72)</f>
        <v>61.3</v>
      </c>
      <c r="G73" s="21" t="n">
        <f aca="false">SUM(G4:G72)</f>
        <v>0</v>
      </c>
      <c r="H73" s="21" t="n">
        <f aca="false">SUM(H4:H72)</f>
        <v>61.3</v>
      </c>
    </row>
  </sheetData>
  <mergeCells count="2">
    <mergeCell ref="A1:H1"/>
    <mergeCell ref="A2:H2"/>
  </mergeCells>
  <conditionalFormatting sqref="F4:F72">
    <cfRule type="colorScale" priority="2">
      <colorScale>
        <cfvo type="min" val="0"/>
        <cfvo type="max" val="0"/>
        <color rgb="FFFFFFFF"/>
        <color rgb="FFFCA5A5"/>
      </colorScale>
    </cfRule>
  </conditionalFormatting>
  <conditionalFormatting sqref="G4:G72">
    <cfRule type="colorScale" priority="3">
      <colorScale>
        <cfvo type="min" val="0"/>
        <cfvo type="max" val="0"/>
        <color rgb="FFFFFFFF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44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32"/>
    <col collapsed="false" customWidth="true" hidden="false" outlineLevel="0" max="15" min="15" style="0" width="8"/>
    <col collapsed="false" customWidth="true" hidden="false" outlineLevel="0" max="16" min="16" style="0" width="18"/>
    <col collapsed="false" customWidth="true" hidden="false" outlineLevel="0" max="17" min="17" style="0" width="60"/>
  </cols>
  <sheetData>
    <row r="1" customFormat="false" ht="18" hidden="false" customHeight="true" outlineLevel="0" collapsed="false">
      <c r="A1" s="22" t="s">
        <v>149</v>
      </c>
    </row>
    <row r="2" customFormat="false" ht="13.5" hidden="false" customHeight="true" outlineLevel="0" collapsed="false">
      <c r="A2" s="23" t="s">
        <v>150</v>
      </c>
    </row>
    <row r="4" customFormat="false" ht="30" hidden="false" customHeight="true" outlineLevel="0" collapsed="false">
      <c r="A4" s="24" t="s">
        <v>35</v>
      </c>
      <c r="B4" s="24" t="s">
        <v>151</v>
      </c>
      <c r="C4" s="24" t="s">
        <v>152</v>
      </c>
      <c r="D4" s="24" t="s">
        <v>153</v>
      </c>
      <c r="E4" s="24" t="s">
        <v>38</v>
      </c>
      <c r="F4" s="24" t="s">
        <v>40</v>
      </c>
      <c r="G4" s="24" t="s">
        <v>154</v>
      </c>
      <c r="H4" s="24" t="s">
        <v>155</v>
      </c>
      <c r="I4" s="24" t="s">
        <v>156</v>
      </c>
      <c r="J4" s="24" t="s">
        <v>157</v>
      </c>
      <c r="K4" s="24" t="s">
        <v>158</v>
      </c>
      <c r="L4" s="24" t="s">
        <v>159</v>
      </c>
      <c r="M4" s="24" t="s">
        <v>160</v>
      </c>
      <c r="N4" s="24" t="s">
        <v>161</v>
      </c>
      <c r="O4" s="24" t="s">
        <v>162</v>
      </c>
      <c r="P4" s="24" t="s">
        <v>163</v>
      </c>
      <c r="Q4" s="24" t="s">
        <v>164</v>
      </c>
    </row>
    <row r="5" customFormat="false" ht="35.05" hidden="false" customHeight="false" outlineLevel="0" collapsed="false">
      <c r="A5" s="25" t="s">
        <v>69</v>
      </c>
      <c r="B5" s="25" t="s">
        <v>165</v>
      </c>
      <c r="C5" s="26" t="s">
        <v>166</v>
      </c>
      <c r="D5" s="27" t="n">
        <v>9</v>
      </c>
      <c r="E5" s="28" t="n">
        <v>346</v>
      </c>
      <c r="F5" s="28" t="n">
        <v>103.8</v>
      </c>
      <c r="G5" s="28" t="n">
        <v>242.2</v>
      </c>
      <c r="H5" s="25" t="s">
        <v>167</v>
      </c>
      <c r="I5" s="25" t="s">
        <v>168</v>
      </c>
      <c r="J5" s="25" t="s">
        <v>169</v>
      </c>
      <c r="K5" s="25" t="s">
        <v>170</v>
      </c>
      <c r="L5" s="25" t="s">
        <v>171</v>
      </c>
      <c r="M5" s="25" t="s">
        <v>172</v>
      </c>
      <c r="N5" s="25" t="s">
        <v>173</v>
      </c>
      <c r="O5" s="25" t="s">
        <v>174</v>
      </c>
      <c r="P5" s="25" t="s">
        <v>175</v>
      </c>
      <c r="Q5" s="29" t="s">
        <v>176</v>
      </c>
    </row>
    <row r="6" customFormat="false" ht="15" hidden="false" customHeight="false" outlineLevel="0" collapsed="false">
      <c r="A6" s="30" t="s">
        <v>71</v>
      </c>
      <c r="B6" s="30" t="s">
        <v>177</v>
      </c>
      <c r="C6" s="31" t="s">
        <v>178</v>
      </c>
      <c r="D6" s="32" t="n">
        <v>1</v>
      </c>
      <c r="E6" s="33" t="n">
        <v>69</v>
      </c>
      <c r="F6" s="33" t="n">
        <v>0</v>
      </c>
      <c r="G6" s="33" t="n">
        <v>69</v>
      </c>
      <c r="H6" s="30" t="s">
        <v>179</v>
      </c>
      <c r="I6" s="30" t="s">
        <v>180</v>
      </c>
      <c r="J6" s="30" t="s">
        <v>181</v>
      </c>
      <c r="K6" s="30" t="s">
        <v>182</v>
      </c>
      <c r="L6" s="30" t="s">
        <v>171</v>
      </c>
      <c r="M6" s="30" t="s">
        <v>183</v>
      </c>
      <c r="N6" s="30" t="s">
        <v>173</v>
      </c>
      <c r="O6" s="30" t="s">
        <v>174</v>
      </c>
      <c r="P6" s="30" t="s">
        <v>184</v>
      </c>
      <c r="Q6" s="34" t="s">
        <v>185</v>
      </c>
    </row>
    <row r="7" customFormat="false" ht="15" hidden="false" customHeight="false" outlineLevel="0" collapsed="false">
      <c r="A7" s="35" t="s">
        <v>65</v>
      </c>
      <c r="B7" s="35" t="s">
        <v>186</v>
      </c>
      <c r="C7" s="36" t="s">
        <v>187</v>
      </c>
      <c r="D7" s="37" t="n">
        <v>2</v>
      </c>
      <c r="E7" s="38" t="n">
        <v>49.65</v>
      </c>
      <c r="F7" s="38" t="n">
        <v>0</v>
      </c>
      <c r="G7" s="38" t="n">
        <v>49.65</v>
      </c>
      <c r="H7" s="35" t="s">
        <v>179</v>
      </c>
      <c r="I7" s="35" t="s">
        <v>188</v>
      </c>
      <c r="J7" s="35" t="s">
        <v>189</v>
      </c>
      <c r="K7" s="35" t="s">
        <v>190</v>
      </c>
      <c r="L7" s="35" t="s">
        <v>191</v>
      </c>
      <c r="M7" s="35" t="s">
        <v>172</v>
      </c>
      <c r="N7" s="35" t="s">
        <v>192</v>
      </c>
      <c r="O7" s="35" t="s">
        <v>174</v>
      </c>
      <c r="P7" s="35" t="s">
        <v>193</v>
      </c>
      <c r="Q7" s="39" t="s">
        <v>194</v>
      </c>
    </row>
    <row r="8" customFormat="false" ht="15" hidden="false" customHeight="false" outlineLevel="0" collapsed="false">
      <c r="A8" s="30" t="s">
        <v>72</v>
      </c>
      <c r="B8" s="30" t="s">
        <v>195</v>
      </c>
      <c r="C8" s="31" t="s">
        <v>196</v>
      </c>
      <c r="D8" s="32" t="n">
        <v>2</v>
      </c>
      <c r="E8" s="33" t="n">
        <v>60</v>
      </c>
      <c r="F8" s="33" t="n">
        <v>20</v>
      </c>
      <c r="G8" s="33" t="n">
        <v>40</v>
      </c>
      <c r="H8" s="30" t="s">
        <v>167</v>
      </c>
      <c r="I8" s="30" t="s">
        <v>197</v>
      </c>
      <c r="J8" s="30" t="s">
        <v>198</v>
      </c>
      <c r="K8" s="30" t="s">
        <v>199</v>
      </c>
      <c r="L8" s="30" t="s">
        <v>191</v>
      </c>
      <c r="M8" s="30" t="s">
        <v>172</v>
      </c>
      <c r="N8" s="30" t="s">
        <v>200</v>
      </c>
      <c r="O8" s="30" t="s">
        <v>174</v>
      </c>
      <c r="P8" s="30" t="s">
        <v>193</v>
      </c>
      <c r="Q8" s="34" t="s">
        <v>201</v>
      </c>
    </row>
    <row r="9" customFormat="false" ht="15" hidden="false" customHeight="false" outlineLevel="0" collapsed="false">
      <c r="A9" s="25" t="s">
        <v>71</v>
      </c>
      <c r="B9" s="25" t="s">
        <v>202</v>
      </c>
      <c r="C9" s="26" t="s">
        <v>203</v>
      </c>
      <c r="D9" s="27" t="n">
        <v>2</v>
      </c>
      <c r="E9" s="28" t="n">
        <v>52</v>
      </c>
      <c r="F9" s="28" t="n">
        <v>15.6</v>
      </c>
      <c r="G9" s="28" t="n">
        <v>36.4</v>
      </c>
      <c r="H9" s="25" t="s">
        <v>167</v>
      </c>
      <c r="I9" s="25" t="s">
        <v>204</v>
      </c>
      <c r="J9" s="25" t="s">
        <v>205</v>
      </c>
      <c r="K9" s="25" t="s">
        <v>206</v>
      </c>
      <c r="L9" s="25" t="s">
        <v>171</v>
      </c>
      <c r="M9" s="25" t="s">
        <v>183</v>
      </c>
      <c r="N9" s="25" t="s">
        <v>207</v>
      </c>
      <c r="O9" s="25" t="s">
        <v>174</v>
      </c>
      <c r="P9" s="25" t="s">
        <v>175</v>
      </c>
      <c r="Q9" s="29" t="s">
        <v>208</v>
      </c>
    </row>
    <row r="10" customFormat="false" ht="15" hidden="false" customHeight="false" outlineLevel="0" collapsed="false">
      <c r="A10" s="30" t="s">
        <v>65</v>
      </c>
      <c r="B10" s="30" t="s">
        <v>209</v>
      </c>
      <c r="C10" s="31" t="s">
        <v>210</v>
      </c>
      <c r="D10" s="32" t="n">
        <v>1</v>
      </c>
      <c r="E10" s="33" t="n">
        <v>35.9</v>
      </c>
      <c r="F10" s="33" t="n">
        <v>0</v>
      </c>
      <c r="G10" s="33" t="n">
        <v>35.9</v>
      </c>
      <c r="H10" s="30" t="s">
        <v>179</v>
      </c>
      <c r="I10" s="30" t="s">
        <v>211</v>
      </c>
      <c r="J10" s="30" t="s">
        <v>212</v>
      </c>
      <c r="K10" s="30" t="s">
        <v>213</v>
      </c>
      <c r="L10" s="30" t="s">
        <v>191</v>
      </c>
      <c r="M10" s="30" t="s">
        <v>172</v>
      </c>
      <c r="N10" s="30" t="s">
        <v>214</v>
      </c>
      <c r="O10" s="30" t="s">
        <v>174</v>
      </c>
      <c r="P10" s="30" t="s">
        <v>193</v>
      </c>
      <c r="Q10" s="34" t="s">
        <v>215</v>
      </c>
    </row>
    <row r="11" customFormat="false" ht="15" hidden="false" customHeight="false" outlineLevel="0" collapsed="false">
      <c r="A11" s="35" t="s">
        <v>65</v>
      </c>
      <c r="B11" s="35" t="s">
        <v>216</v>
      </c>
      <c r="C11" s="36" t="s">
        <v>217</v>
      </c>
      <c r="D11" s="37" t="n">
        <v>1</v>
      </c>
      <c r="E11" s="38" t="n">
        <v>35.9</v>
      </c>
      <c r="F11" s="38" t="n">
        <v>0</v>
      </c>
      <c r="G11" s="38" t="n">
        <v>35.9</v>
      </c>
      <c r="H11" s="35" t="s">
        <v>179</v>
      </c>
      <c r="I11" s="35" t="s">
        <v>188</v>
      </c>
      <c r="J11" s="35" t="s">
        <v>189</v>
      </c>
      <c r="K11" s="35" t="s">
        <v>190</v>
      </c>
      <c r="L11" s="35" t="s">
        <v>191</v>
      </c>
      <c r="M11" s="35" t="s">
        <v>172</v>
      </c>
      <c r="N11" s="35" t="s">
        <v>192</v>
      </c>
      <c r="O11" s="35" t="s">
        <v>174</v>
      </c>
      <c r="P11" s="35" t="s">
        <v>193</v>
      </c>
      <c r="Q11" s="39" t="s">
        <v>215</v>
      </c>
    </row>
    <row r="12" customFormat="false" ht="15" hidden="false" customHeight="false" outlineLevel="0" collapsed="false">
      <c r="A12" s="35" t="s">
        <v>65</v>
      </c>
      <c r="B12" s="35" t="s">
        <v>218</v>
      </c>
      <c r="C12" s="36" t="s">
        <v>219</v>
      </c>
      <c r="D12" s="37" t="n">
        <v>1</v>
      </c>
      <c r="E12" s="38" t="n">
        <v>35.9</v>
      </c>
      <c r="F12" s="38" t="n">
        <v>0</v>
      </c>
      <c r="G12" s="38" t="n">
        <v>35.9</v>
      </c>
      <c r="H12" s="35" t="s">
        <v>179</v>
      </c>
      <c r="I12" s="35" t="s">
        <v>188</v>
      </c>
      <c r="J12" s="35" t="s">
        <v>189</v>
      </c>
      <c r="K12" s="35" t="s">
        <v>190</v>
      </c>
      <c r="L12" s="35" t="s">
        <v>191</v>
      </c>
      <c r="M12" s="35" t="s">
        <v>172</v>
      </c>
      <c r="N12" s="35" t="s">
        <v>192</v>
      </c>
      <c r="O12" s="35" t="s">
        <v>174</v>
      </c>
      <c r="P12" s="35" t="s">
        <v>193</v>
      </c>
      <c r="Q12" s="39" t="s">
        <v>215</v>
      </c>
    </row>
    <row r="13" customFormat="false" ht="15" hidden="false" customHeight="false" outlineLevel="0" collapsed="false">
      <c r="A13" s="25" t="s">
        <v>57</v>
      </c>
      <c r="B13" s="25" t="s">
        <v>220</v>
      </c>
      <c r="C13" s="26" t="s">
        <v>221</v>
      </c>
      <c r="D13" s="27" t="n">
        <v>4</v>
      </c>
      <c r="E13" s="28" t="n">
        <v>35</v>
      </c>
      <c r="F13" s="28" t="n">
        <v>0</v>
      </c>
      <c r="G13" s="28" t="n">
        <v>35</v>
      </c>
      <c r="H13" s="25" t="s">
        <v>179</v>
      </c>
      <c r="I13" s="25" t="s">
        <v>222</v>
      </c>
      <c r="J13" s="25" t="s">
        <v>223</v>
      </c>
      <c r="K13" s="25" t="s">
        <v>224</v>
      </c>
      <c r="L13" s="25" t="s">
        <v>191</v>
      </c>
      <c r="M13" s="25" t="s">
        <v>172</v>
      </c>
      <c r="N13" s="25" t="s">
        <v>200</v>
      </c>
      <c r="O13" s="25" t="s">
        <v>174</v>
      </c>
      <c r="P13" s="25" t="s">
        <v>225</v>
      </c>
      <c r="Q13" s="29" t="s">
        <v>226</v>
      </c>
    </row>
    <row r="14" customFormat="false" ht="15" hidden="false" customHeight="false" outlineLevel="0" collapsed="false">
      <c r="A14" s="30" t="s">
        <v>44</v>
      </c>
      <c r="B14" s="30" t="s">
        <v>227</v>
      </c>
      <c r="C14" s="31" t="s">
        <v>228</v>
      </c>
      <c r="D14" s="32" t="n">
        <v>3</v>
      </c>
      <c r="E14" s="33" t="n">
        <v>44.25</v>
      </c>
      <c r="F14" s="33" t="n">
        <v>13.28</v>
      </c>
      <c r="G14" s="33" t="n">
        <v>30.97</v>
      </c>
      <c r="H14" s="30" t="s">
        <v>167</v>
      </c>
      <c r="I14" s="30" t="s">
        <v>229</v>
      </c>
      <c r="J14" s="30" t="s">
        <v>230</v>
      </c>
      <c r="K14" s="30" t="s">
        <v>231</v>
      </c>
      <c r="L14" s="30" t="s">
        <v>191</v>
      </c>
      <c r="M14" s="30" t="s">
        <v>183</v>
      </c>
      <c r="N14" s="30" t="s">
        <v>200</v>
      </c>
      <c r="O14" s="30" t="s">
        <v>174</v>
      </c>
      <c r="P14" s="30" t="s">
        <v>193</v>
      </c>
      <c r="Q14" s="34" t="s">
        <v>232</v>
      </c>
    </row>
    <row r="15" customFormat="false" ht="15" hidden="false" customHeight="false" outlineLevel="0" collapsed="false">
      <c r="A15" s="25" t="s">
        <v>52</v>
      </c>
      <c r="B15" s="25" t="s">
        <v>233</v>
      </c>
      <c r="C15" s="26" t="s">
        <v>234</v>
      </c>
      <c r="D15" s="27" t="n">
        <v>2</v>
      </c>
      <c r="E15" s="28" t="n">
        <v>31.9</v>
      </c>
      <c r="F15" s="28" t="n">
        <v>1</v>
      </c>
      <c r="G15" s="28" t="n">
        <v>30.9</v>
      </c>
      <c r="H15" s="25" t="s">
        <v>167</v>
      </c>
      <c r="I15" s="25" t="s">
        <v>235</v>
      </c>
      <c r="J15" s="25" t="s">
        <v>236</v>
      </c>
      <c r="K15" s="25" t="s">
        <v>237</v>
      </c>
      <c r="L15" s="25" t="s">
        <v>191</v>
      </c>
      <c r="M15" s="25" t="s">
        <v>172</v>
      </c>
      <c r="N15" s="25" t="s">
        <v>238</v>
      </c>
      <c r="O15" s="25" t="s">
        <v>239</v>
      </c>
      <c r="P15" s="25"/>
      <c r="Q15" s="29" t="s">
        <v>240</v>
      </c>
    </row>
    <row r="16" customFormat="false" ht="15" hidden="false" customHeight="false" outlineLevel="0" collapsed="false">
      <c r="A16" s="35" t="s">
        <v>57</v>
      </c>
      <c r="B16" s="35" t="s">
        <v>241</v>
      </c>
      <c r="C16" s="36" t="s">
        <v>242</v>
      </c>
      <c r="D16" s="37" t="n">
        <v>3</v>
      </c>
      <c r="E16" s="38" t="n">
        <v>30</v>
      </c>
      <c r="F16" s="38" t="n">
        <v>0</v>
      </c>
      <c r="G16" s="38" t="n">
        <v>30</v>
      </c>
      <c r="H16" s="35" t="s">
        <v>179</v>
      </c>
      <c r="I16" s="35" t="s">
        <v>243</v>
      </c>
      <c r="J16" s="35" t="s">
        <v>244</v>
      </c>
      <c r="K16" s="35" t="s">
        <v>245</v>
      </c>
      <c r="L16" s="35" t="s">
        <v>191</v>
      </c>
      <c r="M16" s="35" t="s">
        <v>183</v>
      </c>
      <c r="N16" s="35" t="s">
        <v>200</v>
      </c>
      <c r="O16" s="35" t="s">
        <v>174</v>
      </c>
      <c r="P16" s="35" t="s">
        <v>193</v>
      </c>
      <c r="Q16" s="39" t="s">
        <v>246</v>
      </c>
    </row>
    <row r="17" customFormat="false" ht="15" hidden="false" customHeight="false" outlineLevel="0" collapsed="false">
      <c r="A17" s="35" t="s">
        <v>57</v>
      </c>
      <c r="B17" s="35" t="s">
        <v>247</v>
      </c>
      <c r="C17" s="36" t="s">
        <v>248</v>
      </c>
      <c r="D17" s="37" t="n">
        <v>4</v>
      </c>
      <c r="E17" s="38" t="n">
        <v>25</v>
      </c>
      <c r="F17" s="38" t="n">
        <v>0</v>
      </c>
      <c r="G17" s="38" t="n">
        <v>25</v>
      </c>
      <c r="H17" s="35" t="s">
        <v>179</v>
      </c>
      <c r="I17" s="35" t="s">
        <v>243</v>
      </c>
      <c r="J17" s="35" t="s">
        <v>244</v>
      </c>
      <c r="K17" s="35" t="s">
        <v>245</v>
      </c>
      <c r="L17" s="35" t="s">
        <v>191</v>
      </c>
      <c r="M17" s="35" t="s">
        <v>183</v>
      </c>
      <c r="N17" s="35" t="s">
        <v>200</v>
      </c>
      <c r="O17" s="35" t="s">
        <v>174</v>
      </c>
      <c r="P17" s="35" t="s">
        <v>193</v>
      </c>
      <c r="Q17" s="39" t="s">
        <v>249</v>
      </c>
    </row>
    <row r="18" customFormat="false" ht="15" hidden="false" customHeight="false" outlineLevel="0" collapsed="false">
      <c r="A18" s="35" t="s">
        <v>57</v>
      </c>
      <c r="B18" s="35" t="s">
        <v>250</v>
      </c>
      <c r="C18" s="36" t="s">
        <v>251</v>
      </c>
      <c r="D18" s="37" t="n">
        <v>3</v>
      </c>
      <c r="E18" s="38" t="n">
        <v>25</v>
      </c>
      <c r="F18" s="38" t="n">
        <v>0</v>
      </c>
      <c r="G18" s="38" t="n">
        <v>25</v>
      </c>
      <c r="H18" s="35" t="s">
        <v>179</v>
      </c>
      <c r="I18" s="35" t="s">
        <v>243</v>
      </c>
      <c r="J18" s="35" t="s">
        <v>244</v>
      </c>
      <c r="K18" s="35" t="s">
        <v>245</v>
      </c>
      <c r="L18" s="35" t="s">
        <v>191</v>
      </c>
      <c r="M18" s="35" t="s">
        <v>183</v>
      </c>
      <c r="N18" s="35" t="s">
        <v>200</v>
      </c>
      <c r="O18" s="35" t="s">
        <v>174</v>
      </c>
      <c r="P18" s="35" t="s">
        <v>193</v>
      </c>
      <c r="Q18" s="39" t="s">
        <v>246</v>
      </c>
    </row>
    <row r="19" customFormat="false" ht="15" hidden="false" customHeight="false" outlineLevel="0" collapsed="false">
      <c r="A19" s="25" t="s">
        <v>63</v>
      </c>
      <c r="B19" s="25" t="s">
        <v>252</v>
      </c>
      <c r="C19" s="26" t="s">
        <v>253</v>
      </c>
      <c r="D19" s="27" t="n">
        <v>1</v>
      </c>
      <c r="E19" s="28" t="n">
        <v>33.5</v>
      </c>
      <c r="F19" s="28" t="n">
        <v>10.05</v>
      </c>
      <c r="G19" s="28" t="n">
        <v>23.45</v>
      </c>
      <c r="H19" s="25" t="s">
        <v>167</v>
      </c>
      <c r="I19" s="25" t="s">
        <v>254</v>
      </c>
      <c r="J19" s="25" t="s">
        <v>255</v>
      </c>
      <c r="K19" s="25" t="s">
        <v>256</v>
      </c>
      <c r="L19" s="25" t="s">
        <v>191</v>
      </c>
      <c r="M19" s="25" t="s">
        <v>172</v>
      </c>
      <c r="N19" s="25" t="s">
        <v>257</v>
      </c>
      <c r="O19" s="25" t="s">
        <v>174</v>
      </c>
      <c r="P19" s="25" t="s">
        <v>193</v>
      </c>
      <c r="Q19" s="29" t="s">
        <v>240</v>
      </c>
    </row>
    <row r="20" customFormat="false" ht="15" hidden="false" customHeight="false" outlineLevel="0" collapsed="false">
      <c r="A20" s="30" t="s">
        <v>75</v>
      </c>
      <c r="B20" s="30" t="s">
        <v>258</v>
      </c>
      <c r="C20" s="31" t="s">
        <v>259</v>
      </c>
      <c r="D20" s="32" t="n">
        <v>1</v>
      </c>
      <c r="E20" s="33" t="n">
        <v>21.75</v>
      </c>
      <c r="F20" s="33" t="n">
        <v>0</v>
      </c>
      <c r="G20" s="33" t="n">
        <v>21.75</v>
      </c>
      <c r="H20" s="30" t="s">
        <v>260</v>
      </c>
      <c r="I20" s="30"/>
      <c r="J20" s="30"/>
      <c r="K20" s="30"/>
      <c r="L20" s="30"/>
      <c r="M20" s="30"/>
      <c r="N20" s="30"/>
      <c r="O20" s="30"/>
      <c r="P20" s="30"/>
      <c r="Q20" s="34" t="s">
        <v>261</v>
      </c>
    </row>
    <row r="21" customFormat="false" ht="15" hidden="false" customHeight="false" outlineLevel="0" collapsed="false">
      <c r="A21" s="25" t="s">
        <v>51</v>
      </c>
      <c r="B21" s="25" t="s">
        <v>262</v>
      </c>
      <c r="C21" s="26" t="s">
        <v>263</v>
      </c>
      <c r="D21" s="27" t="n">
        <v>1</v>
      </c>
      <c r="E21" s="28" t="n">
        <v>22.5</v>
      </c>
      <c r="F21" s="28" t="n">
        <v>1</v>
      </c>
      <c r="G21" s="28" t="n">
        <v>21.5</v>
      </c>
      <c r="H21" s="25" t="s">
        <v>167</v>
      </c>
      <c r="I21" s="25" t="s">
        <v>264</v>
      </c>
      <c r="J21" s="25" t="s">
        <v>265</v>
      </c>
      <c r="K21" s="25" t="s">
        <v>266</v>
      </c>
      <c r="L21" s="25" t="s">
        <v>191</v>
      </c>
      <c r="M21" s="25" t="s">
        <v>172</v>
      </c>
      <c r="N21" s="25" t="s">
        <v>267</v>
      </c>
      <c r="O21" s="25" t="s">
        <v>268</v>
      </c>
      <c r="P21" s="25" t="s">
        <v>193</v>
      </c>
      <c r="Q21" s="29" t="s">
        <v>269</v>
      </c>
    </row>
    <row r="22" customFormat="false" ht="15" hidden="false" customHeight="false" outlineLevel="0" collapsed="false">
      <c r="A22" s="30" t="s">
        <v>56</v>
      </c>
      <c r="B22" s="30" t="s">
        <v>270</v>
      </c>
      <c r="C22" s="31" t="s">
        <v>271</v>
      </c>
      <c r="D22" s="32" t="n">
        <v>1</v>
      </c>
      <c r="E22" s="33" t="n">
        <v>20</v>
      </c>
      <c r="F22" s="33" t="n">
        <v>0</v>
      </c>
      <c r="G22" s="33" t="n">
        <v>20</v>
      </c>
      <c r="H22" s="30" t="s">
        <v>179</v>
      </c>
      <c r="I22" s="30" t="s">
        <v>272</v>
      </c>
      <c r="J22" s="30" t="s">
        <v>273</v>
      </c>
      <c r="K22" s="30" t="s">
        <v>274</v>
      </c>
      <c r="L22" s="30" t="s">
        <v>171</v>
      </c>
      <c r="M22" s="30" t="s">
        <v>183</v>
      </c>
      <c r="N22" s="30" t="s">
        <v>275</v>
      </c>
      <c r="O22" s="30" t="s">
        <v>174</v>
      </c>
      <c r="P22" s="30" t="s">
        <v>175</v>
      </c>
      <c r="Q22" s="34" t="s">
        <v>240</v>
      </c>
    </row>
    <row r="23" customFormat="false" ht="15" hidden="false" customHeight="false" outlineLevel="0" collapsed="false">
      <c r="A23" s="25" t="s">
        <v>67</v>
      </c>
      <c r="B23" s="25" t="s">
        <v>276</v>
      </c>
      <c r="C23" s="26" t="s">
        <v>277</v>
      </c>
      <c r="D23" s="27" t="n">
        <v>3</v>
      </c>
      <c r="E23" s="28" t="n">
        <v>18.45</v>
      </c>
      <c r="F23" s="28" t="n">
        <v>0</v>
      </c>
      <c r="G23" s="28" t="n">
        <v>18.45</v>
      </c>
      <c r="H23" s="25" t="s">
        <v>179</v>
      </c>
      <c r="I23" s="25" t="s">
        <v>278</v>
      </c>
      <c r="J23" s="25" t="s">
        <v>279</v>
      </c>
      <c r="K23" s="25" t="s">
        <v>280</v>
      </c>
      <c r="L23" s="25" t="s">
        <v>191</v>
      </c>
      <c r="M23" s="25" t="s">
        <v>172</v>
      </c>
      <c r="N23" s="25" t="s">
        <v>200</v>
      </c>
      <c r="O23" s="25" t="s">
        <v>174</v>
      </c>
      <c r="P23" s="25" t="s">
        <v>193</v>
      </c>
      <c r="Q23" s="29" t="s">
        <v>281</v>
      </c>
    </row>
    <row r="24" customFormat="false" ht="15" hidden="false" customHeight="false" outlineLevel="0" collapsed="false">
      <c r="A24" s="30" t="s">
        <v>71</v>
      </c>
      <c r="B24" s="30" t="s">
        <v>282</v>
      </c>
      <c r="C24" s="31" t="s">
        <v>283</v>
      </c>
      <c r="D24" s="32" t="n">
        <v>2</v>
      </c>
      <c r="E24" s="33" t="n">
        <v>60</v>
      </c>
      <c r="F24" s="33" t="n">
        <v>42</v>
      </c>
      <c r="G24" s="33" t="n">
        <v>18</v>
      </c>
      <c r="H24" s="30" t="s">
        <v>167</v>
      </c>
      <c r="I24" s="30" t="s">
        <v>284</v>
      </c>
      <c r="J24" s="30" t="s">
        <v>285</v>
      </c>
      <c r="K24" s="30" t="s">
        <v>286</v>
      </c>
      <c r="L24" s="30" t="s">
        <v>171</v>
      </c>
      <c r="M24" s="30" t="s">
        <v>172</v>
      </c>
      <c r="N24" s="30" t="s">
        <v>287</v>
      </c>
      <c r="O24" s="30" t="s">
        <v>174</v>
      </c>
      <c r="P24" s="30" t="s">
        <v>175</v>
      </c>
      <c r="Q24" s="34" t="s">
        <v>201</v>
      </c>
    </row>
    <row r="25" customFormat="false" ht="15" hidden="false" customHeight="false" outlineLevel="0" collapsed="false">
      <c r="A25" s="25" t="s">
        <v>68</v>
      </c>
      <c r="B25" s="25" t="s">
        <v>288</v>
      </c>
      <c r="C25" s="26" t="s">
        <v>289</v>
      </c>
      <c r="D25" s="27" t="n">
        <v>2</v>
      </c>
      <c r="E25" s="28" t="n">
        <v>38</v>
      </c>
      <c r="F25" s="28" t="n">
        <v>20</v>
      </c>
      <c r="G25" s="28" t="n">
        <v>18</v>
      </c>
      <c r="H25" s="25" t="s">
        <v>167</v>
      </c>
      <c r="I25" s="25" t="s">
        <v>290</v>
      </c>
      <c r="J25" s="25" t="s">
        <v>291</v>
      </c>
      <c r="K25" s="25" t="s">
        <v>292</v>
      </c>
      <c r="L25" s="25" t="s">
        <v>191</v>
      </c>
      <c r="M25" s="25" t="s">
        <v>172</v>
      </c>
      <c r="N25" s="25" t="s">
        <v>293</v>
      </c>
      <c r="O25" s="25" t="s">
        <v>174</v>
      </c>
      <c r="P25" s="25" t="s">
        <v>193</v>
      </c>
      <c r="Q25" s="29" t="s">
        <v>294</v>
      </c>
    </row>
    <row r="26" customFormat="false" ht="15" hidden="false" customHeight="false" outlineLevel="0" collapsed="false">
      <c r="A26" s="30" t="s">
        <v>70</v>
      </c>
      <c r="B26" s="30" t="s">
        <v>295</v>
      </c>
      <c r="C26" s="31" t="s">
        <v>296</v>
      </c>
      <c r="D26" s="32" t="n">
        <v>1</v>
      </c>
      <c r="E26" s="33" t="n">
        <v>37</v>
      </c>
      <c r="F26" s="33" t="n">
        <v>20</v>
      </c>
      <c r="G26" s="33" t="n">
        <v>17</v>
      </c>
      <c r="H26" s="30" t="s">
        <v>167</v>
      </c>
      <c r="I26" s="30" t="s">
        <v>297</v>
      </c>
      <c r="J26" s="30" t="s">
        <v>298</v>
      </c>
      <c r="K26" s="30" t="s">
        <v>299</v>
      </c>
      <c r="L26" s="30" t="s">
        <v>171</v>
      </c>
      <c r="M26" s="30" t="s">
        <v>172</v>
      </c>
      <c r="N26" s="30" t="s">
        <v>300</v>
      </c>
      <c r="O26" s="30" t="s">
        <v>174</v>
      </c>
      <c r="P26" s="30" t="s">
        <v>175</v>
      </c>
      <c r="Q26" s="34" t="s">
        <v>301</v>
      </c>
    </row>
    <row r="27" customFormat="false" ht="15" hidden="false" customHeight="false" outlineLevel="0" collapsed="false">
      <c r="A27" s="35" t="s">
        <v>51</v>
      </c>
      <c r="B27" s="35" t="s">
        <v>302</v>
      </c>
      <c r="C27" s="36" t="s">
        <v>303</v>
      </c>
      <c r="D27" s="37" t="n">
        <v>2</v>
      </c>
      <c r="E27" s="38" t="n">
        <v>17.5</v>
      </c>
      <c r="F27" s="38" t="n">
        <v>1</v>
      </c>
      <c r="G27" s="38" t="n">
        <v>16.5</v>
      </c>
      <c r="H27" s="35" t="s">
        <v>167</v>
      </c>
      <c r="I27" s="35" t="s">
        <v>304</v>
      </c>
      <c r="J27" s="35" t="s">
        <v>305</v>
      </c>
      <c r="K27" s="35" t="s">
        <v>306</v>
      </c>
      <c r="L27" s="35" t="s">
        <v>171</v>
      </c>
      <c r="M27" s="35" t="s">
        <v>183</v>
      </c>
      <c r="N27" s="35" t="s">
        <v>307</v>
      </c>
      <c r="O27" s="35" t="s">
        <v>174</v>
      </c>
      <c r="P27" s="35" t="s">
        <v>175</v>
      </c>
      <c r="Q27" s="39" t="s">
        <v>308</v>
      </c>
    </row>
    <row r="28" customFormat="false" ht="15" hidden="false" customHeight="false" outlineLevel="0" collapsed="false">
      <c r="A28" s="30" t="s">
        <v>52</v>
      </c>
      <c r="B28" s="30" t="s">
        <v>309</v>
      </c>
      <c r="C28" s="31" t="s">
        <v>310</v>
      </c>
      <c r="D28" s="32" t="n">
        <v>2</v>
      </c>
      <c r="E28" s="33" t="n">
        <v>32.2</v>
      </c>
      <c r="F28" s="33" t="n">
        <v>16.1</v>
      </c>
      <c r="G28" s="33" t="n">
        <v>16.1</v>
      </c>
      <c r="H28" s="30" t="s">
        <v>167</v>
      </c>
      <c r="I28" s="30" t="s">
        <v>311</v>
      </c>
      <c r="J28" s="30" t="s">
        <v>312</v>
      </c>
      <c r="K28" s="30" t="s">
        <v>313</v>
      </c>
      <c r="L28" s="30" t="s">
        <v>171</v>
      </c>
      <c r="M28" s="30" t="s">
        <v>172</v>
      </c>
      <c r="N28" s="30" t="s">
        <v>314</v>
      </c>
      <c r="O28" s="30" t="s">
        <v>315</v>
      </c>
      <c r="P28" s="30" t="s">
        <v>175</v>
      </c>
      <c r="Q28" s="34" t="s">
        <v>316</v>
      </c>
    </row>
    <row r="29" customFormat="false" ht="15" hidden="false" customHeight="false" outlineLevel="0" collapsed="false">
      <c r="A29" s="25" t="s">
        <v>67</v>
      </c>
      <c r="B29" s="25" t="s">
        <v>317</v>
      </c>
      <c r="C29" s="26" t="s">
        <v>318</v>
      </c>
      <c r="D29" s="27" t="n">
        <v>2</v>
      </c>
      <c r="E29" s="28" t="n">
        <v>15.2</v>
      </c>
      <c r="F29" s="28" t="n">
        <v>0</v>
      </c>
      <c r="G29" s="28" t="n">
        <v>15.2</v>
      </c>
      <c r="H29" s="25" t="s">
        <v>179</v>
      </c>
      <c r="I29" s="25" t="s">
        <v>319</v>
      </c>
      <c r="J29" s="25" t="s">
        <v>320</v>
      </c>
      <c r="K29" s="25" t="s">
        <v>321</v>
      </c>
      <c r="L29" s="25" t="s">
        <v>191</v>
      </c>
      <c r="M29" s="25" t="s">
        <v>172</v>
      </c>
      <c r="N29" s="25" t="s">
        <v>322</v>
      </c>
      <c r="O29" s="25" t="s">
        <v>323</v>
      </c>
      <c r="P29" s="25" t="s">
        <v>193</v>
      </c>
      <c r="Q29" s="29" t="s">
        <v>324</v>
      </c>
    </row>
    <row r="30" customFormat="false" ht="15" hidden="false" customHeight="false" outlineLevel="0" collapsed="false">
      <c r="A30" s="30" t="s">
        <v>57</v>
      </c>
      <c r="B30" s="30" t="s">
        <v>325</v>
      </c>
      <c r="C30" s="31" t="s">
        <v>326</v>
      </c>
      <c r="D30" s="32" t="n">
        <v>2</v>
      </c>
      <c r="E30" s="33" t="n">
        <v>15</v>
      </c>
      <c r="F30" s="33" t="n">
        <v>0</v>
      </c>
      <c r="G30" s="33" t="n">
        <v>15</v>
      </c>
      <c r="H30" s="30" t="s">
        <v>179</v>
      </c>
      <c r="I30" s="30" t="s">
        <v>327</v>
      </c>
      <c r="J30" s="30" t="s">
        <v>328</v>
      </c>
      <c r="K30" s="30" t="s">
        <v>329</v>
      </c>
      <c r="L30" s="30" t="s">
        <v>191</v>
      </c>
      <c r="M30" s="30" t="s">
        <v>183</v>
      </c>
      <c r="N30" s="30" t="s">
        <v>330</v>
      </c>
      <c r="O30" s="30" t="s">
        <v>174</v>
      </c>
      <c r="P30" s="30" t="s">
        <v>193</v>
      </c>
      <c r="Q30" s="34" t="s">
        <v>226</v>
      </c>
    </row>
    <row r="31" customFormat="false" ht="15" hidden="false" customHeight="false" outlineLevel="0" collapsed="false">
      <c r="A31" s="25" t="s">
        <v>57</v>
      </c>
      <c r="B31" s="25" t="s">
        <v>331</v>
      </c>
      <c r="C31" s="26" t="s">
        <v>332</v>
      </c>
      <c r="D31" s="27" t="n">
        <v>1</v>
      </c>
      <c r="E31" s="28" t="n">
        <v>20</v>
      </c>
      <c r="F31" s="28" t="n">
        <v>5</v>
      </c>
      <c r="G31" s="28" t="n">
        <v>15</v>
      </c>
      <c r="H31" s="25" t="s">
        <v>167</v>
      </c>
      <c r="I31" s="25" t="s">
        <v>333</v>
      </c>
      <c r="J31" s="25" t="s">
        <v>334</v>
      </c>
      <c r="K31" s="25" t="s">
        <v>335</v>
      </c>
      <c r="L31" s="25" t="s">
        <v>171</v>
      </c>
      <c r="M31" s="25" t="s">
        <v>172</v>
      </c>
      <c r="N31" s="25" t="s">
        <v>287</v>
      </c>
      <c r="O31" s="25" t="s">
        <v>174</v>
      </c>
      <c r="P31" s="25"/>
      <c r="Q31" s="29" t="s">
        <v>226</v>
      </c>
    </row>
    <row r="32" customFormat="false" ht="15" hidden="false" customHeight="false" outlineLevel="0" collapsed="false">
      <c r="A32" s="30" t="s">
        <v>58</v>
      </c>
      <c r="B32" s="30" t="s">
        <v>336</v>
      </c>
      <c r="C32" s="31" t="s">
        <v>337</v>
      </c>
      <c r="D32" s="32" t="n">
        <v>1</v>
      </c>
      <c r="E32" s="33" t="n">
        <v>20</v>
      </c>
      <c r="F32" s="33" t="n">
        <v>5</v>
      </c>
      <c r="G32" s="33" t="n">
        <v>15</v>
      </c>
      <c r="H32" s="30" t="s">
        <v>167</v>
      </c>
      <c r="I32" s="30" t="s">
        <v>338</v>
      </c>
      <c r="J32" s="30" t="s">
        <v>339</v>
      </c>
      <c r="K32" s="30" t="s">
        <v>340</v>
      </c>
      <c r="L32" s="30" t="s">
        <v>191</v>
      </c>
      <c r="M32" s="30" t="s">
        <v>172</v>
      </c>
      <c r="N32" s="30" t="s">
        <v>341</v>
      </c>
      <c r="O32" s="30" t="s">
        <v>174</v>
      </c>
      <c r="P32" s="30" t="s">
        <v>193</v>
      </c>
      <c r="Q32" s="34" t="s">
        <v>240</v>
      </c>
    </row>
    <row r="33" customFormat="false" ht="15" hidden="false" customHeight="false" outlineLevel="0" collapsed="false">
      <c r="A33" s="25" t="s">
        <v>57</v>
      </c>
      <c r="B33" s="25" t="s">
        <v>342</v>
      </c>
      <c r="C33" s="26" t="s">
        <v>343</v>
      </c>
      <c r="D33" s="27" t="n">
        <v>1</v>
      </c>
      <c r="E33" s="28" t="n">
        <v>20</v>
      </c>
      <c r="F33" s="28" t="n">
        <v>5</v>
      </c>
      <c r="G33" s="28" t="n">
        <v>15</v>
      </c>
      <c r="H33" s="25" t="s">
        <v>167</v>
      </c>
      <c r="I33" s="25" t="s">
        <v>344</v>
      </c>
      <c r="J33" s="25" t="s">
        <v>334</v>
      </c>
      <c r="K33" s="25" t="s">
        <v>345</v>
      </c>
      <c r="L33" s="25" t="s">
        <v>171</v>
      </c>
      <c r="M33" s="25" t="s">
        <v>172</v>
      </c>
      <c r="N33" s="25" t="s">
        <v>287</v>
      </c>
      <c r="O33" s="25" t="s">
        <v>174</v>
      </c>
      <c r="P33" s="25"/>
      <c r="Q33" s="29" t="s">
        <v>240</v>
      </c>
    </row>
    <row r="34" customFormat="false" ht="15" hidden="false" customHeight="false" outlineLevel="0" collapsed="false">
      <c r="A34" s="35" t="s">
        <v>65</v>
      </c>
      <c r="B34" s="35" t="s">
        <v>346</v>
      </c>
      <c r="C34" s="36" t="s">
        <v>347</v>
      </c>
      <c r="D34" s="37" t="n">
        <v>1</v>
      </c>
      <c r="E34" s="38" t="n">
        <v>15.95</v>
      </c>
      <c r="F34" s="38" t="n">
        <v>1</v>
      </c>
      <c r="G34" s="38" t="n">
        <v>14.95</v>
      </c>
      <c r="H34" s="35" t="s">
        <v>167</v>
      </c>
      <c r="I34" s="35" t="s">
        <v>348</v>
      </c>
      <c r="J34" s="35" t="s">
        <v>349</v>
      </c>
      <c r="K34" s="35" t="s">
        <v>350</v>
      </c>
      <c r="L34" s="35" t="s">
        <v>191</v>
      </c>
      <c r="M34" s="35" t="s">
        <v>172</v>
      </c>
      <c r="N34" s="35" t="s">
        <v>200</v>
      </c>
      <c r="O34" s="35" t="s">
        <v>174</v>
      </c>
      <c r="P34" s="35" t="s">
        <v>193</v>
      </c>
      <c r="Q34" s="39" t="s">
        <v>240</v>
      </c>
    </row>
    <row r="35" customFormat="false" ht="15" hidden="false" customHeight="false" outlineLevel="0" collapsed="false">
      <c r="A35" s="25" t="s">
        <v>52</v>
      </c>
      <c r="B35" s="25" t="s">
        <v>351</v>
      </c>
      <c r="C35" s="26" t="s">
        <v>352</v>
      </c>
      <c r="D35" s="27" t="n">
        <v>1</v>
      </c>
      <c r="E35" s="28" t="n">
        <v>15.95</v>
      </c>
      <c r="F35" s="28" t="n">
        <v>1</v>
      </c>
      <c r="G35" s="28" t="n">
        <v>14.95</v>
      </c>
      <c r="H35" s="25" t="s">
        <v>167</v>
      </c>
      <c r="I35" s="25" t="s">
        <v>353</v>
      </c>
      <c r="J35" s="25" t="s">
        <v>354</v>
      </c>
      <c r="K35" s="25" t="s">
        <v>355</v>
      </c>
      <c r="L35" s="25" t="s">
        <v>171</v>
      </c>
      <c r="M35" s="25" t="s">
        <v>183</v>
      </c>
      <c r="N35" s="25" t="s">
        <v>356</v>
      </c>
      <c r="O35" s="25" t="s">
        <v>268</v>
      </c>
      <c r="P35" s="25" t="s">
        <v>175</v>
      </c>
      <c r="Q35" s="29" t="s">
        <v>240</v>
      </c>
    </row>
    <row r="36" customFormat="false" ht="15" hidden="false" customHeight="false" outlineLevel="0" collapsed="false">
      <c r="A36" s="30" t="s">
        <v>51</v>
      </c>
      <c r="B36" s="30" t="s">
        <v>357</v>
      </c>
      <c r="C36" s="31" t="s">
        <v>358</v>
      </c>
      <c r="D36" s="32" t="n">
        <v>1</v>
      </c>
      <c r="E36" s="33" t="n">
        <v>15.95</v>
      </c>
      <c r="F36" s="33" t="n">
        <v>1</v>
      </c>
      <c r="G36" s="33" t="n">
        <v>14.95</v>
      </c>
      <c r="H36" s="30" t="s">
        <v>167</v>
      </c>
      <c r="I36" s="30" t="s">
        <v>359</v>
      </c>
      <c r="J36" s="30" t="s">
        <v>305</v>
      </c>
      <c r="K36" s="30" t="s">
        <v>360</v>
      </c>
      <c r="L36" s="30" t="s">
        <v>171</v>
      </c>
      <c r="M36" s="30" t="s">
        <v>183</v>
      </c>
      <c r="N36" s="30" t="s">
        <v>307</v>
      </c>
      <c r="O36" s="30" t="s">
        <v>174</v>
      </c>
      <c r="P36" s="30" t="s">
        <v>361</v>
      </c>
      <c r="Q36" s="34" t="s">
        <v>240</v>
      </c>
    </row>
    <row r="37" customFormat="false" ht="15" hidden="false" customHeight="false" outlineLevel="0" collapsed="false">
      <c r="A37" s="25" t="s">
        <v>75</v>
      </c>
      <c r="B37" s="25" t="s">
        <v>362</v>
      </c>
      <c r="C37" s="26" t="s">
        <v>363</v>
      </c>
      <c r="D37" s="27" t="n">
        <v>1</v>
      </c>
      <c r="E37" s="28" t="n">
        <v>14.5</v>
      </c>
      <c r="F37" s="28" t="n">
        <v>0</v>
      </c>
      <c r="G37" s="28" t="n">
        <v>14.5</v>
      </c>
      <c r="H37" s="25" t="s">
        <v>260</v>
      </c>
      <c r="I37" s="25"/>
      <c r="J37" s="25"/>
      <c r="K37" s="25"/>
      <c r="L37" s="25"/>
      <c r="M37" s="25"/>
      <c r="N37" s="25"/>
      <c r="O37" s="25"/>
      <c r="P37" s="25"/>
      <c r="Q37" s="29" t="s">
        <v>261</v>
      </c>
    </row>
    <row r="38" customFormat="false" ht="15" hidden="false" customHeight="false" outlineLevel="0" collapsed="false">
      <c r="A38" s="35" t="s">
        <v>44</v>
      </c>
      <c r="B38" s="35" t="s">
        <v>364</v>
      </c>
      <c r="C38" s="36" t="s">
        <v>365</v>
      </c>
      <c r="D38" s="37" t="n">
        <v>3</v>
      </c>
      <c r="E38" s="38" t="n">
        <v>20.15</v>
      </c>
      <c r="F38" s="38" t="n">
        <v>6.05</v>
      </c>
      <c r="G38" s="38" t="n">
        <v>14.1</v>
      </c>
      <c r="H38" s="35" t="s">
        <v>167</v>
      </c>
      <c r="I38" s="35" t="s">
        <v>366</v>
      </c>
      <c r="J38" s="35" t="s">
        <v>367</v>
      </c>
      <c r="K38" s="35" t="s">
        <v>368</v>
      </c>
      <c r="L38" s="35" t="s">
        <v>191</v>
      </c>
      <c r="M38" s="35" t="s">
        <v>172</v>
      </c>
      <c r="N38" s="35" t="s">
        <v>369</v>
      </c>
      <c r="O38" s="35" t="s">
        <v>174</v>
      </c>
      <c r="P38" s="35" t="s">
        <v>193</v>
      </c>
      <c r="Q38" s="39" t="s">
        <v>370</v>
      </c>
    </row>
    <row r="39" customFormat="false" ht="15" hidden="false" customHeight="false" outlineLevel="0" collapsed="false">
      <c r="A39" s="35" t="s">
        <v>47</v>
      </c>
      <c r="B39" s="35" t="s">
        <v>371</v>
      </c>
      <c r="C39" s="36" t="s">
        <v>372</v>
      </c>
      <c r="D39" s="37" t="n">
        <v>1</v>
      </c>
      <c r="E39" s="38" t="n">
        <v>13.75</v>
      </c>
      <c r="F39" s="38" t="n">
        <v>0</v>
      </c>
      <c r="G39" s="38" t="n">
        <v>13.75</v>
      </c>
      <c r="H39" s="35" t="s">
        <v>373</v>
      </c>
      <c r="I39" s="35" t="s">
        <v>374</v>
      </c>
      <c r="J39" s="35" t="s">
        <v>375</v>
      </c>
      <c r="K39" s="35" t="s">
        <v>376</v>
      </c>
      <c r="L39" s="35" t="s">
        <v>191</v>
      </c>
      <c r="M39" s="35" t="s">
        <v>172</v>
      </c>
      <c r="N39" s="35" t="s">
        <v>377</v>
      </c>
      <c r="O39" s="35" t="s">
        <v>239</v>
      </c>
      <c r="P39" s="35"/>
      <c r="Q39" s="39" t="s">
        <v>378</v>
      </c>
    </row>
    <row r="40" customFormat="false" ht="15" hidden="false" customHeight="false" outlineLevel="0" collapsed="false">
      <c r="A40" s="35" t="s">
        <v>65</v>
      </c>
      <c r="B40" s="35" t="s">
        <v>379</v>
      </c>
      <c r="C40" s="36" t="s">
        <v>380</v>
      </c>
      <c r="D40" s="37" t="n">
        <v>2</v>
      </c>
      <c r="E40" s="38" t="n">
        <v>13.9</v>
      </c>
      <c r="F40" s="38" t="n">
        <v>1</v>
      </c>
      <c r="G40" s="38" t="n">
        <v>12.9</v>
      </c>
      <c r="H40" s="35" t="s">
        <v>167</v>
      </c>
      <c r="I40" s="35" t="s">
        <v>348</v>
      </c>
      <c r="J40" s="35" t="s">
        <v>349</v>
      </c>
      <c r="K40" s="35" t="s">
        <v>350</v>
      </c>
      <c r="L40" s="35" t="s">
        <v>191</v>
      </c>
      <c r="M40" s="35" t="s">
        <v>172</v>
      </c>
      <c r="N40" s="35" t="s">
        <v>200</v>
      </c>
      <c r="O40" s="35" t="s">
        <v>174</v>
      </c>
      <c r="P40" s="35" t="s">
        <v>193</v>
      </c>
      <c r="Q40" s="39" t="s">
        <v>381</v>
      </c>
    </row>
    <row r="41" customFormat="false" ht="15" hidden="false" customHeight="false" outlineLevel="0" collapsed="false">
      <c r="A41" s="25" t="s">
        <v>47</v>
      </c>
      <c r="B41" s="25" t="s">
        <v>382</v>
      </c>
      <c r="C41" s="26" t="s">
        <v>383</v>
      </c>
      <c r="D41" s="27" t="n">
        <v>1</v>
      </c>
      <c r="E41" s="28" t="n">
        <v>13.75</v>
      </c>
      <c r="F41" s="28" t="n">
        <v>1</v>
      </c>
      <c r="G41" s="28" t="n">
        <v>12.75</v>
      </c>
      <c r="H41" s="25" t="s">
        <v>167</v>
      </c>
      <c r="I41" s="25" t="s">
        <v>384</v>
      </c>
      <c r="J41" s="25" t="s">
        <v>385</v>
      </c>
      <c r="K41" s="25" t="s">
        <v>386</v>
      </c>
      <c r="L41" s="25" t="s">
        <v>171</v>
      </c>
      <c r="M41" s="25" t="s">
        <v>172</v>
      </c>
      <c r="N41" s="25" t="s">
        <v>387</v>
      </c>
      <c r="O41" s="25" t="s">
        <v>268</v>
      </c>
      <c r="P41" s="25" t="s">
        <v>175</v>
      </c>
      <c r="Q41" s="29" t="s">
        <v>378</v>
      </c>
    </row>
    <row r="42" customFormat="false" ht="15" hidden="false" customHeight="false" outlineLevel="0" collapsed="false">
      <c r="A42" s="30" t="s">
        <v>76</v>
      </c>
      <c r="B42" s="30" t="s">
        <v>388</v>
      </c>
      <c r="C42" s="31" t="s">
        <v>389</v>
      </c>
      <c r="D42" s="32" t="n">
        <v>1</v>
      </c>
      <c r="E42" s="33" t="n">
        <v>13.5</v>
      </c>
      <c r="F42" s="33" t="n">
        <v>1</v>
      </c>
      <c r="G42" s="33" t="n">
        <v>12.5</v>
      </c>
      <c r="H42" s="30" t="s">
        <v>167</v>
      </c>
      <c r="I42" s="30" t="s">
        <v>390</v>
      </c>
      <c r="J42" s="30" t="s">
        <v>391</v>
      </c>
      <c r="K42" s="30" t="s">
        <v>392</v>
      </c>
      <c r="L42" s="30" t="s">
        <v>191</v>
      </c>
      <c r="M42" s="30" t="s">
        <v>172</v>
      </c>
      <c r="N42" s="30" t="s">
        <v>200</v>
      </c>
      <c r="O42" s="30" t="s">
        <v>174</v>
      </c>
      <c r="P42" s="30" t="s">
        <v>193</v>
      </c>
      <c r="Q42" s="34" t="s">
        <v>393</v>
      </c>
    </row>
    <row r="43" customFormat="false" ht="15" hidden="false" customHeight="false" outlineLevel="0" collapsed="false">
      <c r="A43" s="25" t="s">
        <v>65</v>
      </c>
      <c r="B43" s="25" t="s">
        <v>394</v>
      </c>
      <c r="C43" s="26" t="s">
        <v>395</v>
      </c>
      <c r="D43" s="27" t="n">
        <v>1</v>
      </c>
      <c r="E43" s="28" t="n">
        <v>11.75</v>
      </c>
      <c r="F43" s="28" t="n">
        <v>0</v>
      </c>
      <c r="G43" s="28" t="n">
        <v>11.75</v>
      </c>
      <c r="H43" s="25" t="s">
        <v>179</v>
      </c>
      <c r="I43" s="25" t="s">
        <v>396</v>
      </c>
      <c r="J43" s="25" t="s">
        <v>189</v>
      </c>
      <c r="K43" s="25" t="s">
        <v>397</v>
      </c>
      <c r="L43" s="25" t="s">
        <v>191</v>
      </c>
      <c r="M43" s="25" t="s">
        <v>172</v>
      </c>
      <c r="N43" s="25" t="s">
        <v>192</v>
      </c>
      <c r="O43" s="25" t="s">
        <v>174</v>
      </c>
      <c r="P43" s="25" t="s">
        <v>193</v>
      </c>
      <c r="Q43" s="29" t="s">
        <v>398</v>
      </c>
    </row>
    <row r="44" customFormat="false" ht="15" hidden="false" customHeight="false" outlineLevel="0" collapsed="false">
      <c r="A44" s="30" t="s">
        <v>67</v>
      </c>
      <c r="B44" s="30" t="s">
        <v>399</v>
      </c>
      <c r="C44" s="31" t="s">
        <v>400</v>
      </c>
      <c r="D44" s="32" t="n">
        <v>2</v>
      </c>
      <c r="E44" s="33" t="n">
        <v>11.2</v>
      </c>
      <c r="F44" s="33" t="n">
        <v>0</v>
      </c>
      <c r="G44" s="33" t="n">
        <v>11.2</v>
      </c>
      <c r="H44" s="30" t="s">
        <v>179</v>
      </c>
      <c r="I44" s="30" t="s">
        <v>401</v>
      </c>
      <c r="J44" s="30" t="s">
        <v>402</v>
      </c>
      <c r="K44" s="30" t="s">
        <v>403</v>
      </c>
      <c r="L44" s="30" t="s">
        <v>191</v>
      </c>
      <c r="M44" s="30" t="s">
        <v>183</v>
      </c>
      <c r="N44" s="30" t="s">
        <v>200</v>
      </c>
      <c r="O44" s="30" t="s">
        <v>174</v>
      </c>
      <c r="P44" s="30" t="s">
        <v>193</v>
      </c>
      <c r="Q44" s="34" t="s">
        <v>404</v>
      </c>
    </row>
    <row r="45" customFormat="false" ht="15" hidden="false" customHeight="false" outlineLevel="0" collapsed="false">
      <c r="A45" s="25" t="s">
        <v>65</v>
      </c>
      <c r="B45" s="25" t="s">
        <v>405</v>
      </c>
      <c r="C45" s="26" t="s">
        <v>406</v>
      </c>
      <c r="D45" s="27" t="n">
        <v>1</v>
      </c>
      <c r="E45" s="28" t="n">
        <v>11.75</v>
      </c>
      <c r="F45" s="28" t="n">
        <v>1</v>
      </c>
      <c r="G45" s="28" t="n">
        <v>10.75</v>
      </c>
      <c r="H45" s="25" t="s">
        <v>167</v>
      </c>
      <c r="I45" s="25" t="s">
        <v>407</v>
      </c>
      <c r="J45" s="25" t="s">
        <v>408</v>
      </c>
      <c r="K45" s="25" t="s">
        <v>409</v>
      </c>
      <c r="L45" s="25" t="s">
        <v>191</v>
      </c>
      <c r="M45" s="25" t="s">
        <v>172</v>
      </c>
      <c r="N45" s="25" t="s">
        <v>214</v>
      </c>
      <c r="O45" s="25" t="s">
        <v>174</v>
      </c>
      <c r="P45" s="25" t="s">
        <v>193</v>
      </c>
      <c r="Q45" s="29" t="s">
        <v>398</v>
      </c>
    </row>
    <row r="46" customFormat="false" ht="15" hidden="false" customHeight="false" outlineLevel="0" collapsed="false">
      <c r="A46" s="30" t="s">
        <v>76</v>
      </c>
      <c r="B46" s="30" t="s">
        <v>410</v>
      </c>
      <c r="C46" s="31" t="s">
        <v>411</v>
      </c>
      <c r="D46" s="32" t="n">
        <v>2</v>
      </c>
      <c r="E46" s="33" t="n">
        <v>10.7</v>
      </c>
      <c r="F46" s="33" t="n">
        <v>0</v>
      </c>
      <c r="G46" s="33" t="n">
        <v>10.7</v>
      </c>
      <c r="H46" s="30" t="s">
        <v>412</v>
      </c>
      <c r="I46" s="30" t="s">
        <v>413</v>
      </c>
      <c r="J46" s="30" t="s">
        <v>414</v>
      </c>
      <c r="K46" s="30" t="s">
        <v>415</v>
      </c>
      <c r="L46" s="30" t="s">
        <v>171</v>
      </c>
      <c r="M46" s="30" t="s">
        <v>183</v>
      </c>
      <c r="N46" s="30" t="s">
        <v>192</v>
      </c>
      <c r="O46" s="30" t="s">
        <v>174</v>
      </c>
      <c r="P46" s="30"/>
      <c r="Q46" s="34" t="s">
        <v>416</v>
      </c>
    </row>
    <row r="47" customFormat="false" ht="15" hidden="false" customHeight="false" outlineLevel="0" collapsed="false">
      <c r="A47" s="25" t="s">
        <v>67</v>
      </c>
      <c r="B47" s="25" t="s">
        <v>417</v>
      </c>
      <c r="C47" s="26" t="s">
        <v>418</v>
      </c>
      <c r="D47" s="27" t="n">
        <v>2</v>
      </c>
      <c r="E47" s="28" t="n">
        <v>10.2</v>
      </c>
      <c r="F47" s="28" t="n">
        <v>0</v>
      </c>
      <c r="G47" s="28" t="n">
        <v>10.2</v>
      </c>
      <c r="H47" s="25" t="s">
        <v>179</v>
      </c>
      <c r="I47" s="25" t="s">
        <v>419</v>
      </c>
      <c r="J47" s="25" t="s">
        <v>420</v>
      </c>
      <c r="K47" s="25" t="s">
        <v>421</v>
      </c>
      <c r="L47" s="25" t="s">
        <v>191</v>
      </c>
      <c r="M47" s="25" t="s">
        <v>183</v>
      </c>
      <c r="N47" s="25" t="s">
        <v>330</v>
      </c>
      <c r="O47" s="25" t="s">
        <v>174</v>
      </c>
      <c r="P47" s="25" t="s">
        <v>193</v>
      </c>
      <c r="Q47" s="29" t="s">
        <v>422</v>
      </c>
    </row>
    <row r="48" customFormat="false" ht="15" hidden="false" customHeight="false" outlineLevel="0" collapsed="false">
      <c r="A48" s="30" t="s">
        <v>62</v>
      </c>
      <c r="B48" s="30" t="s">
        <v>423</v>
      </c>
      <c r="C48" s="31" t="s">
        <v>424</v>
      </c>
      <c r="D48" s="32" t="n">
        <v>1</v>
      </c>
      <c r="E48" s="33" t="n">
        <v>10.5</v>
      </c>
      <c r="F48" s="33" t="n">
        <v>1</v>
      </c>
      <c r="G48" s="33" t="n">
        <v>9.5</v>
      </c>
      <c r="H48" s="30" t="s">
        <v>167</v>
      </c>
      <c r="I48" s="30" t="s">
        <v>425</v>
      </c>
      <c r="J48" s="30" t="s">
        <v>426</v>
      </c>
      <c r="K48" s="30" t="s">
        <v>427</v>
      </c>
      <c r="L48" s="30" t="s">
        <v>191</v>
      </c>
      <c r="M48" s="30" t="s">
        <v>183</v>
      </c>
      <c r="N48" s="30" t="s">
        <v>428</v>
      </c>
      <c r="O48" s="30" t="s">
        <v>174</v>
      </c>
      <c r="P48" s="30" t="s">
        <v>193</v>
      </c>
      <c r="Q48" s="34" t="s">
        <v>429</v>
      </c>
    </row>
    <row r="49" customFormat="false" ht="15" hidden="false" customHeight="false" outlineLevel="0" collapsed="false">
      <c r="A49" s="25" t="s">
        <v>63</v>
      </c>
      <c r="B49" s="25" t="s">
        <v>430</v>
      </c>
      <c r="C49" s="26" t="s">
        <v>431</v>
      </c>
      <c r="D49" s="27" t="n">
        <v>1</v>
      </c>
      <c r="E49" s="28" t="n">
        <v>13.45</v>
      </c>
      <c r="F49" s="28" t="n">
        <v>4.04</v>
      </c>
      <c r="G49" s="28" t="n">
        <v>9.41</v>
      </c>
      <c r="H49" s="25" t="s">
        <v>167</v>
      </c>
      <c r="I49" s="25" t="s">
        <v>432</v>
      </c>
      <c r="J49" s="25" t="s">
        <v>433</v>
      </c>
      <c r="K49" s="25" t="s">
        <v>434</v>
      </c>
      <c r="L49" s="25" t="s">
        <v>191</v>
      </c>
      <c r="M49" s="25" t="s">
        <v>172</v>
      </c>
      <c r="N49" s="25" t="s">
        <v>322</v>
      </c>
      <c r="O49" s="25" t="s">
        <v>435</v>
      </c>
      <c r="P49" s="25" t="s">
        <v>193</v>
      </c>
      <c r="Q49" s="29" t="s">
        <v>436</v>
      </c>
    </row>
    <row r="50" customFormat="false" ht="15" hidden="false" customHeight="false" outlineLevel="0" collapsed="false">
      <c r="A50" s="35" t="s">
        <v>47</v>
      </c>
      <c r="B50" s="35" t="s">
        <v>437</v>
      </c>
      <c r="C50" s="36" t="s">
        <v>438</v>
      </c>
      <c r="D50" s="37" t="n">
        <v>1</v>
      </c>
      <c r="E50" s="38" t="n">
        <v>10</v>
      </c>
      <c r="F50" s="38" t="n">
        <v>1</v>
      </c>
      <c r="G50" s="38" t="n">
        <v>9</v>
      </c>
      <c r="H50" s="35" t="s">
        <v>167</v>
      </c>
      <c r="I50" s="35" t="s">
        <v>439</v>
      </c>
      <c r="J50" s="35" t="s">
        <v>244</v>
      </c>
      <c r="K50" s="35" t="s">
        <v>440</v>
      </c>
      <c r="L50" s="35" t="s">
        <v>191</v>
      </c>
      <c r="M50" s="35" t="s">
        <v>172</v>
      </c>
      <c r="N50" s="35" t="s">
        <v>200</v>
      </c>
      <c r="O50" s="35" t="s">
        <v>174</v>
      </c>
      <c r="P50" s="35" t="s">
        <v>193</v>
      </c>
      <c r="Q50" s="39" t="s">
        <v>441</v>
      </c>
    </row>
    <row r="51" customFormat="false" ht="15" hidden="false" customHeight="false" outlineLevel="0" collapsed="false">
      <c r="A51" s="25" t="s">
        <v>68</v>
      </c>
      <c r="B51" s="25" t="s">
        <v>442</v>
      </c>
      <c r="C51" s="26" t="s">
        <v>443</v>
      </c>
      <c r="D51" s="27" t="n">
        <v>1</v>
      </c>
      <c r="E51" s="28" t="n">
        <v>29</v>
      </c>
      <c r="F51" s="28" t="n">
        <v>20.3</v>
      </c>
      <c r="G51" s="28" t="n">
        <v>8.7</v>
      </c>
      <c r="H51" s="25" t="s">
        <v>167</v>
      </c>
      <c r="I51" s="25" t="s">
        <v>444</v>
      </c>
      <c r="J51" s="25" t="s">
        <v>445</v>
      </c>
      <c r="K51" s="25" t="s">
        <v>446</v>
      </c>
      <c r="L51" s="25" t="s">
        <v>171</v>
      </c>
      <c r="M51" s="25" t="s">
        <v>172</v>
      </c>
      <c r="N51" s="25" t="s">
        <v>300</v>
      </c>
      <c r="O51" s="25" t="s">
        <v>174</v>
      </c>
      <c r="P51" s="25" t="s">
        <v>175</v>
      </c>
      <c r="Q51" s="29" t="s">
        <v>447</v>
      </c>
    </row>
    <row r="52" customFormat="false" ht="15" hidden="false" customHeight="false" outlineLevel="0" collapsed="false">
      <c r="A52" s="30" t="s">
        <v>62</v>
      </c>
      <c r="B52" s="30" t="s">
        <v>448</v>
      </c>
      <c r="C52" s="31" t="s">
        <v>449</v>
      </c>
      <c r="D52" s="32" t="n">
        <v>1</v>
      </c>
      <c r="E52" s="33" t="n">
        <v>16.95</v>
      </c>
      <c r="F52" s="33" t="n">
        <v>8.48</v>
      </c>
      <c r="G52" s="33" t="n">
        <v>8.47</v>
      </c>
      <c r="H52" s="30" t="s">
        <v>167</v>
      </c>
      <c r="I52" s="30" t="s">
        <v>450</v>
      </c>
      <c r="J52" s="30" t="s">
        <v>451</v>
      </c>
      <c r="K52" s="30" t="s">
        <v>452</v>
      </c>
      <c r="L52" s="30" t="s">
        <v>171</v>
      </c>
      <c r="M52" s="30" t="s">
        <v>172</v>
      </c>
      <c r="N52" s="30" t="s">
        <v>287</v>
      </c>
      <c r="O52" s="30" t="s">
        <v>174</v>
      </c>
      <c r="P52" s="30"/>
      <c r="Q52" s="34" t="s">
        <v>240</v>
      </c>
    </row>
    <row r="53" customFormat="false" ht="15" hidden="false" customHeight="false" outlineLevel="0" collapsed="false">
      <c r="A53" s="35" t="s">
        <v>51</v>
      </c>
      <c r="B53" s="35" t="s">
        <v>453</v>
      </c>
      <c r="C53" s="36" t="s">
        <v>454</v>
      </c>
      <c r="D53" s="37" t="n">
        <v>1</v>
      </c>
      <c r="E53" s="38" t="n">
        <v>8.95</v>
      </c>
      <c r="F53" s="38" t="n">
        <v>1</v>
      </c>
      <c r="G53" s="38" t="n">
        <v>7.95</v>
      </c>
      <c r="H53" s="35" t="s">
        <v>167</v>
      </c>
      <c r="I53" s="35" t="s">
        <v>304</v>
      </c>
      <c r="J53" s="35" t="s">
        <v>305</v>
      </c>
      <c r="K53" s="35" t="s">
        <v>306</v>
      </c>
      <c r="L53" s="35" t="s">
        <v>171</v>
      </c>
      <c r="M53" s="35" t="s">
        <v>183</v>
      </c>
      <c r="N53" s="35" t="s">
        <v>307</v>
      </c>
      <c r="O53" s="35" t="s">
        <v>174</v>
      </c>
      <c r="P53" s="35" t="s">
        <v>175</v>
      </c>
      <c r="Q53" s="39" t="s">
        <v>455</v>
      </c>
    </row>
    <row r="54" customFormat="false" ht="15" hidden="false" customHeight="false" outlineLevel="0" collapsed="false">
      <c r="A54" s="35" t="s">
        <v>47</v>
      </c>
      <c r="B54" s="35" t="s">
        <v>456</v>
      </c>
      <c r="C54" s="36" t="s">
        <v>457</v>
      </c>
      <c r="D54" s="37" t="n">
        <v>1</v>
      </c>
      <c r="E54" s="38" t="n">
        <v>8.95</v>
      </c>
      <c r="F54" s="38" t="n">
        <v>1</v>
      </c>
      <c r="G54" s="38" t="n">
        <v>7.95</v>
      </c>
      <c r="H54" s="35" t="s">
        <v>167</v>
      </c>
      <c r="I54" s="35" t="s">
        <v>439</v>
      </c>
      <c r="J54" s="35" t="s">
        <v>244</v>
      </c>
      <c r="K54" s="35" t="s">
        <v>440</v>
      </c>
      <c r="L54" s="35" t="s">
        <v>191</v>
      </c>
      <c r="M54" s="35" t="s">
        <v>172</v>
      </c>
      <c r="N54" s="35" t="s">
        <v>200</v>
      </c>
      <c r="O54" s="35" t="s">
        <v>174</v>
      </c>
      <c r="P54" s="35" t="s">
        <v>193</v>
      </c>
      <c r="Q54" s="39" t="s">
        <v>455</v>
      </c>
    </row>
    <row r="55" customFormat="false" ht="15" hidden="false" customHeight="false" outlineLevel="0" collapsed="false">
      <c r="A55" s="35" t="s">
        <v>47</v>
      </c>
      <c r="B55" s="35" t="s">
        <v>458</v>
      </c>
      <c r="C55" s="36" t="s">
        <v>459</v>
      </c>
      <c r="D55" s="37" t="n">
        <v>1</v>
      </c>
      <c r="E55" s="38" t="n">
        <v>8.95</v>
      </c>
      <c r="F55" s="38" t="n">
        <v>1</v>
      </c>
      <c r="G55" s="38" t="n">
        <v>7.95</v>
      </c>
      <c r="H55" s="35" t="s">
        <v>167</v>
      </c>
      <c r="I55" s="35" t="s">
        <v>374</v>
      </c>
      <c r="J55" s="35" t="s">
        <v>375</v>
      </c>
      <c r="K55" s="35" t="s">
        <v>376</v>
      </c>
      <c r="L55" s="35" t="s">
        <v>191</v>
      </c>
      <c r="M55" s="35" t="s">
        <v>172</v>
      </c>
      <c r="N55" s="35" t="s">
        <v>377</v>
      </c>
      <c r="O55" s="35" t="s">
        <v>239</v>
      </c>
      <c r="P55" s="35"/>
      <c r="Q55" s="39" t="s">
        <v>455</v>
      </c>
    </row>
    <row r="56" customFormat="false" ht="15" hidden="false" customHeight="false" outlineLevel="0" collapsed="false">
      <c r="A56" s="35" t="s">
        <v>75</v>
      </c>
      <c r="B56" s="35" t="s">
        <v>460</v>
      </c>
      <c r="C56" s="36" t="s">
        <v>461</v>
      </c>
      <c r="D56" s="37" t="n">
        <v>1</v>
      </c>
      <c r="E56" s="38" t="n">
        <v>17.9</v>
      </c>
      <c r="F56" s="38" t="n">
        <v>10</v>
      </c>
      <c r="G56" s="38" t="n">
        <v>7.9</v>
      </c>
      <c r="H56" s="35" t="s">
        <v>167</v>
      </c>
      <c r="I56" s="35" t="s">
        <v>462</v>
      </c>
      <c r="J56" s="35" t="s">
        <v>463</v>
      </c>
      <c r="K56" s="35" t="s">
        <v>464</v>
      </c>
      <c r="L56" s="35" t="s">
        <v>171</v>
      </c>
      <c r="M56" s="35" t="s">
        <v>172</v>
      </c>
      <c r="N56" s="35" t="s">
        <v>173</v>
      </c>
      <c r="O56" s="35" t="s">
        <v>174</v>
      </c>
      <c r="P56" s="35" t="s">
        <v>175</v>
      </c>
      <c r="Q56" s="39" t="s">
        <v>465</v>
      </c>
    </row>
    <row r="57" customFormat="false" ht="15" hidden="false" customHeight="false" outlineLevel="0" collapsed="false">
      <c r="A57" s="35" t="s">
        <v>44</v>
      </c>
      <c r="B57" s="35" t="s">
        <v>466</v>
      </c>
      <c r="C57" s="36" t="s">
        <v>467</v>
      </c>
      <c r="D57" s="37" t="n">
        <v>3</v>
      </c>
      <c r="E57" s="38" t="n">
        <v>15.2</v>
      </c>
      <c r="F57" s="38" t="n">
        <v>7.6</v>
      </c>
      <c r="G57" s="38" t="n">
        <v>7.6</v>
      </c>
      <c r="H57" s="35" t="s">
        <v>167</v>
      </c>
      <c r="I57" s="35" t="s">
        <v>366</v>
      </c>
      <c r="J57" s="35" t="s">
        <v>367</v>
      </c>
      <c r="K57" s="35" t="s">
        <v>368</v>
      </c>
      <c r="L57" s="35" t="s">
        <v>191</v>
      </c>
      <c r="M57" s="35" t="s">
        <v>172</v>
      </c>
      <c r="N57" s="35" t="s">
        <v>369</v>
      </c>
      <c r="O57" s="35" t="s">
        <v>174</v>
      </c>
      <c r="P57" s="35" t="s">
        <v>193</v>
      </c>
      <c r="Q57" s="39" t="s">
        <v>370</v>
      </c>
    </row>
    <row r="58" customFormat="false" ht="15" hidden="false" customHeight="false" outlineLevel="0" collapsed="false">
      <c r="A58" s="30" t="s">
        <v>75</v>
      </c>
      <c r="B58" s="30" t="s">
        <v>468</v>
      </c>
      <c r="C58" s="31" t="s">
        <v>469</v>
      </c>
      <c r="D58" s="32" t="n">
        <v>1</v>
      </c>
      <c r="E58" s="33" t="n">
        <v>7.25</v>
      </c>
      <c r="F58" s="33" t="n">
        <v>0</v>
      </c>
      <c r="G58" s="33" t="n">
        <v>7.25</v>
      </c>
      <c r="H58" s="30" t="s">
        <v>260</v>
      </c>
      <c r="I58" s="30"/>
      <c r="J58" s="30"/>
      <c r="K58" s="30"/>
      <c r="L58" s="30"/>
      <c r="M58" s="30"/>
      <c r="N58" s="30"/>
      <c r="O58" s="30"/>
      <c r="P58" s="30"/>
      <c r="Q58" s="34" t="s">
        <v>261</v>
      </c>
    </row>
    <row r="59" customFormat="false" ht="15" hidden="false" customHeight="false" outlineLevel="0" collapsed="false">
      <c r="A59" s="25" t="s">
        <v>75</v>
      </c>
      <c r="B59" s="25" t="s">
        <v>470</v>
      </c>
      <c r="C59" s="26" t="s">
        <v>471</v>
      </c>
      <c r="D59" s="27" t="n">
        <v>1</v>
      </c>
      <c r="E59" s="28" t="n">
        <v>7.25</v>
      </c>
      <c r="F59" s="28" t="n">
        <v>0</v>
      </c>
      <c r="G59" s="28" t="n">
        <v>7.25</v>
      </c>
      <c r="H59" s="25" t="s">
        <v>260</v>
      </c>
      <c r="I59" s="25"/>
      <c r="J59" s="25"/>
      <c r="K59" s="25"/>
      <c r="L59" s="25"/>
      <c r="M59" s="25"/>
      <c r="N59" s="25"/>
      <c r="O59" s="25"/>
      <c r="P59" s="25"/>
      <c r="Q59" s="29" t="s">
        <v>261</v>
      </c>
    </row>
    <row r="60" customFormat="false" ht="15" hidden="false" customHeight="false" outlineLevel="0" collapsed="false">
      <c r="A60" s="30" t="s">
        <v>75</v>
      </c>
      <c r="B60" s="30" t="s">
        <v>472</v>
      </c>
      <c r="C60" s="31" t="s">
        <v>473</v>
      </c>
      <c r="D60" s="32" t="n">
        <v>1</v>
      </c>
      <c r="E60" s="33" t="n">
        <v>7.25</v>
      </c>
      <c r="F60" s="33" t="n">
        <v>0</v>
      </c>
      <c r="G60" s="33" t="n">
        <v>7.25</v>
      </c>
      <c r="H60" s="30" t="s">
        <v>260</v>
      </c>
      <c r="I60" s="30"/>
      <c r="J60" s="30"/>
      <c r="K60" s="30"/>
      <c r="L60" s="30"/>
      <c r="M60" s="30"/>
      <c r="N60" s="30"/>
      <c r="O60" s="30"/>
      <c r="P60" s="30"/>
      <c r="Q60" s="34" t="s">
        <v>261</v>
      </c>
    </row>
    <row r="61" customFormat="false" ht="15" hidden="false" customHeight="false" outlineLevel="0" collapsed="false">
      <c r="A61" s="25" t="s">
        <v>65</v>
      </c>
      <c r="B61" s="25" t="s">
        <v>474</v>
      </c>
      <c r="C61" s="26" t="s">
        <v>475</v>
      </c>
      <c r="D61" s="27" t="n">
        <v>1</v>
      </c>
      <c r="E61" s="28" t="n">
        <v>14.25</v>
      </c>
      <c r="F61" s="28" t="n">
        <v>7.13</v>
      </c>
      <c r="G61" s="28" t="n">
        <v>7.12</v>
      </c>
      <c r="H61" s="25" t="s">
        <v>167</v>
      </c>
      <c r="I61" s="25" t="s">
        <v>476</v>
      </c>
      <c r="J61" s="25" t="s">
        <v>477</v>
      </c>
      <c r="K61" s="25" t="s">
        <v>478</v>
      </c>
      <c r="L61" s="25" t="s">
        <v>171</v>
      </c>
      <c r="M61" s="25" t="s">
        <v>172</v>
      </c>
      <c r="N61" s="25" t="s">
        <v>387</v>
      </c>
      <c r="O61" s="25" t="s">
        <v>268</v>
      </c>
      <c r="P61" s="25" t="s">
        <v>175</v>
      </c>
      <c r="Q61" s="29" t="s">
        <v>393</v>
      </c>
    </row>
    <row r="62" customFormat="false" ht="15" hidden="false" customHeight="false" outlineLevel="0" collapsed="false">
      <c r="A62" s="30" t="s">
        <v>65</v>
      </c>
      <c r="B62" s="30" t="s">
        <v>479</v>
      </c>
      <c r="C62" s="31" t="s">
        <v>480</v>
      </c>
      <c r="D62" s="32" t="n">
        <v>1</v>
      </c>
      <c r="E62" s="33" t="n">
        <v>7.95</v>
      </c>
      <c r="F62" s="33" t="n">
        <v>1</v>
      </c>
      <c r="G62" s="33" t="n">
        <v>6.95</v>
      </c>
      <c r="H62" s="30" t="s">
        <v>167</v>
      </c>
      <c r="I62" s="30" t="s">
        <v>481</v>
      </c>
      <c r="J62" s="30" t="s">
        <v>482</v>
      </c>
      <c r="K62" s="30" t="s">
        <v>483</v>
      </c>
      <c r="L62" s="30" t="s">
        <v>171</v>
      </c>
      <c r="M62" s="30" t="s">
        <v>172</v>
      </c>
      <c r="N62" s="30" t="s">
        <v>484</v>
      </c>
      <c r="O62" s="30" t="s">
        <v>268</v>
      </c>
      <c r="P62" s="30" t="s">
        <v>175</v>
      </c>
      <c r="Q62" s="34" t="s">
        <v>485</v>
      </c>
    </row>
    <row r="63" customFormat="false" ht="15" hidden="false" customHeight="false" outlineLevel="0" collapsed="false">
      <c r="A63" s="25" t="s">
        <v>69</v>
      </c>
      <c r="B63" s="25" t="s">
        <v>486</v>
      </c>
      <c r="C63" s="26" t="s">
        <v>487</v>
      </c>
      <c r="D63" s="27" t="n">
        <v>2</v>
      </c>
      <c r="E63" s="28" t="n">
        <v>23</v>
      </c>
      <c r="F63" s="28" t="n">
        <v>16.1</v>
      </c>
      <c r="G63" s="28" t="n">
        <v>6.9</v>
      </c>
      <c r="H63" s="25" t="s">
        <v>167</v>
      </c>
      <c r="I63" s="25" t="s">
        <v>488</v>
      </c>
      <c r="J63" s="25" t="s">
        <v>205</v>
      </c>
      <c r="K63" s="25" t="s">
        <v>489</v>
      </c>
      <c r="L63" s="25" t="s">
        <v>171</v>
      </c>
      <c r="M63" s="25" t="s">
        <v>183</v>
      </c>
      <c r="N63" s="25" t="s">
        <v>490</v>
      </c>
      <c r="O63" s="25" t="s">
        <v>174</v>
      </c>
      <c r="P63" s="25" t="s">
        <v>175</v>
      </c>
      <c r="Q63" s="29" t="s">
        <v>491</v>
      </c>
    </row>
    <row r="64" customFormat="false" ht="15" hidden="false" customHeight="false" outlineLevel="0" collapsed="false">
      <c r="A64" s="35" t="s">
        <v>51</v>
      </c>
      <c r="B64" s="35" t="s">
        <v>492</v>
      </c>
      <c r="C64" s="36" t="s">
        <v>493</v>
      </c>
      <c r="D64" s="37" t="n">
        <v>1</v>
      </c>
      <c r="E64" s="38" t="n">
        <v>7.9</v>
      </c>
      <c r="F64" s="38" t="n">
        <v>1</v>
      </c>
      <c r="G64" s="38" t="n">
        <v>6.9</v>
      </c>
      <c r="H64" s="35" t="s">
        <v>167</v>
      </c>
      <c r="I64" s="35" t="s">
        <v>494</v>
      </c>
      <c r="J64" s="35" t="s">
        <v>495</v>
      </c>
      <c r="K64" s="35" t="s">
        <v>496</v>
      </c>
      <c r="L64" s="35" t="s">
        <v>191</v>
      </c>
      <c r="M64" s="35" t="s">
        <v>172</v>
      </c>
      <c r="N64" s="35" t="s">
        <v>497</v>
      </c>
      <c r="O64" s="35" t="s">
        <v>498</v>
      </c>
      <c r="P64" s="35"/>
      <c r="Q64" s="39" t="s">
        <v>499</v>
      </c>
    </row>
    <row r="65" customFormat="false" ht="15" hidden="false" customHeight="false" outlineLevel="0" collapsed="false">
      <c r="A65" s="25" t="s">
        <v>67</v>
      </c>
      <c r="B65" s="25" t="s">
        <v>500</v>
      </c>
      <c r="C65" s="26" t="s">
        <v>501</v>
      </c>
      <c r="D65" s="27" t="n">
        <v>1</v>
      </c>
      <c r="E65" s="28" t="n">
        <v>6.25</v>
      </c>
      <c r="F65" s="28" t="n">
        <v>0</v>
      </c>
      <c r="G65" s="28" t="n">
        <v>6.25</v>
      </c>
      <c r="H65" s="25" t="s">
        <v>179</v>
      </c>
      <c r="I65" s="25" t="s">
        <v>502</v>
      </c>
      <c r="J65" s="25" t="s">
        <v>402</v>
      </c>
      <c r="K65" s="25" t="s">
        <v>503</v>
      </c>
      <c r="L65" s="25" t="s">
        <v>191</v>
      </c>
      <c r="M65" s="25" t="s">
        <v>183</v>
      </c>
      <c r="N65" s="25" t="s">
        <v>200</v>
      </c>
      <c r="O65" s="25" t="s">
        <v>174</v>
      </c>
      <c r="P65" s="25" t="s">
        <v>504</v>
      </c>
      <c r="Q65" s="29" t="s">
        <v>505</v>
      </c>
    </row>
    <row r="66" customFormat="false" ht="15" hidden="false" customHeight="false" outlineLevel="0" collapsed="false">
      <c r="A66" s="30" t="s">
        <v>44</v>
      </c>
      <c r="B66" s="30" t="s">
        <v>506</v>
      </c>
      <c r="C66" s="31" t="s">
        <v>507</v>
      </c>
      <c r="D66" s="32" t="n">
        <v>2</v>
      </c>
      <c r="E66" s="33" t="n">
        <v>15.95</v>
      </c>
      <c r="F66" s="33" t="n">
        <v>10</v>
      </c>
      <c r="G66" s="33" t="n">
        <v>5.95</v>
      </c>
      <c r="H66" s="30" t="s">
        <v>167</v>
      </c>
      <c r="I66" s="30" t="s">
        <v>508</v>
      </c>
      <c r="J66" s="30" t="s">
        <v>509</v>
      </c>
      <c r="K66" s="30" t="s">
        <v>510</v>
      </c>
      <c r="L66" s="30" t="s">
        <v>191</v>
      </c>
      <c r="M66" s="30" t="s">
        <v>172</v>
      </c>
      <c r="N66" s="30" t="s">
        <v>200</v>
      </c>
      <c r="O66" s="30" t="s">
        <v>174</v>
      </c>
      <c r="P66" s="30"/>
      <c r="Q66" s="34" t="s">
        <v>511</v>
      </c>
    </row>
    <row r="67" customFormat="false" ht="15" hidden="false" customHeight="false" outlineLevel="0" collapsed="false">
      <c r="A67" s="25" t="s">
        <v>53</v>
      </c>
      <c r="B67" s="25" t="s">
        <v>512</v>
      </c>
      <c r="C67" s="26" t="s">
        <v>513</v>
      </c>
      <c r="D67" s="27" t="n">
        <v>1</v>
      </c>
      <c r="E67" s="28" t="n">
        <v>5.75</v>
      </c>
      <c r="F67" s="28" t="n">
        <v>0</v>
      </c>
      <c r="G67" s="28" t="n">
        <v>5.75</v>
      </c>
      <c r="H67" s="25" t="s">
        <v>412</v>
      </c>
      <c r="I67" s="25" t="s">
        <v>514</v>
      </c>
      <c r="J67" s="25" t="s">
        <v>515</v>
      </c>
      <c r="K67" s="25" t="s">
        <v>516</v>
      </c>
      <c r="L67" s="25" t="s">
        <v>191</v>
      </c>
      <c r="M67" s="25" t="s">
        <v>172</v>
      </c>
      <c r="N67" s="25" t="s">
        <v>200</v>
      </c>
      <c r="O67" s="25" t="s">
        <v>174</v>
      </c>
      <c r="P67" s="25"/>
      <c r="Q67" s="29" t="s">
        <v>517</v>
      </c>
    </row>
    <row r="68" customFormat="false" ht="15" hidden="false" customHeight="false" outlineLevel="0" collapsed="false">
      <c r="A68" s="35" t="s">
        <v>64</v>
      </c>
      <c r="B68" s="35" t="s">
        <v>518</v>
      </c>
      <c r="C68" s="36" t="s">
        <v>519</v>
      </c>
      <c r="D68" s="37" t="n">
        <v>1</v>
      </c>
      <c r="E68" s="38" t="n">
        <v>6.5</v>
      </c>
      <c r="F68" s="38" t="n">
        <v>1</v>
      </c>
      <c r="G68" s="38" t="n">
        <v>5.5</v>
      </c>
      <c r="H68" s="35" t="s">
        <v>167</v>
      </c>
      <c r="I68" s="35" t="s">
        <v>520</v>
      </c>
      <c r="J68" s="35" t="s">
        <v>305</v>
      </c>
      <c r="K68" s="35" t="s">
        <v>521</v>
      </c>
      <c r="L68" s="35" t="s">
        <v>171</v>
      </c>
      <c r="M68" s="35" t="s">
        <v>183</v>
      </c>
      <c r="N68" s="35" t="s">
        <v>307</v>
      </c>
      <c r="O68" s="35" t="s">
        <v>174</v>
      </c>
      <c r="P68" s="35" t="s">
        <v>175</v>
      </c>
      <c r="Q68" s="39" t="s">
        <v>505</v>
      </c>
    </row>
    <row r="69" customFormat="false" ht="15" hidden="false" customHeight="false" outlineLevel="0" collapsed="false">
      <c r="A69" s="35" t="s">
        <v>75</v>
      </c>
      <c r="B69" s="35" t="s">
        <v>522</v>
      </c>
      <c r="C69" s="36" t="s">
        <v>523</v>
      </c>
      <c r="D69" s="37" t="n">
        <v>1</v>
      </c>
      <c r="E69" s="38" t="n">
        <v>17.9</v>
      </c>
      <c r="F69" s="38" t="n">
        <v>12.53</v>
      </c>
      <c r="G69" s="38" t="n">
        <v>5.37</v>
      </c>
      <c r="H69" s="35" t="s">
        <v>167</v>
      </c>
      <c r="I69" s="35" t="s">
        <v>462</v>
      </c>
      <c r="J69" s="35" t="s">
        <v>463</v>
      </c>
      <c r="K69" s="35" t="s">
        <v>464</v>
      </c>
      <c r="L69" s="35" t="s">
        <v>171</v>
      </c>
      <c r="M69" s="35" t="s">
        <v>172</v>
      </c>
      <c r="N69" s="35" t="s">
        <v>173</v>
      </c>
      <c r="O69" s="35" t="s">
        <v>174</v>
      </c>
      <c r="P69" s="35" t="s">
        <v>175</v>
      </c>
      <c r="Q69" s="39" t="s">
        <v>465</v>
      </c>
    </row>
    <row r="70" customFormat="false" ht="15" hidden="false" customHeight="false" outlineLevel="0" collapsed="false">
      <c r="A70" s="35" t="s">
        <v>75</v>
      </c>
      <c r="B70" s="35" t="s">
        <v>524</v>
      </c>
      <c r="C70" s="36" t="s">
        <v>525</v>
      </c>
      <c r="D70" s="37" t="n">
        <v>1</v>
      </c>
      <c r="E70" s="38" t="n">
        <v>17.9</v>
      </c>
      <c r="F70" s="38" t="n">
        <v>12.53</v>
      </c>
      <c r="G70" s="38" t="n">
        <v>5.37</v>
      </c>
      <c r="H70" s="35" t="s">
        <v>167</v>
      </c>
      <c r="I70" s="35" t="s">
        <v>462</v>
      </c>
      <c r="J70" s="35" t="s">
        <v>463</v>
      </c>
      <c r="K70" s="35" t="s">
        <v>464</v>
      </c>
      <c r="L70" s="35" t="s">
        <v>171</v>
      </c>
      <c r="M70" s="35" t="s">
        <v>172</v>
      </c>
      <c r="N70" s="35" t="s">
        <v>173</v>
      </c>
      <c r="O70" s="35" t="s">
        <v>174</v>
      </c>
      <c r="P70" s="35" t="s">
        <v>175</v>
      </c>
      <c r="Q70" s="39" t="s">
        <v>465</v>
      </c>
    </row>
    <row r="71" customFormat="false" ht="15" hidden="false" customHeight="false" outlineLevel="0" collapsed="false">
      <c r="A71" s="25" t="s">
        <v>69</v>
      </c>
      <c r="B71" s="25" t="s">
        <v>526</v>
      </c>
      <c r="C71" s="26" t="s">
        <v>527</v>
      </c>
      <c r="D71" s="27" t="n">
        <v>2</v>
      </c>
      <c r="E71" s="28" t="n">
        <v>25</v>
      </c>
      <c r="F71" s="28" t="n">
        <v>20</v>
      </c>
      <c r="G71" s="28" t="n">
        <v>5</v>
      </c>
      <c r="H71" s="25" t="s">
        <v>167</v>
      </c>
      <c r="I71" s="25" t="s">
        <v>528</v>
      </c>
      <c r="J71" s="25" t="s">
        <v>529</v>
      </c>
      <c r="K71" s="25" t="s">
        <v>530</v>
      </c>
      <c r="L71" s="25" t="s">
        <v>191</v>
      </c>
      <c r="M71" s="25" t="s">
        <v>172</v>
      </c>
      <c r="N71" s="25" t="s">
        <v>192</v>
      </c>
      <c r="O71" s="25" t="s">
        <v>174</v>
      </c>
      <c r="P71" s="25" t="s">
        <v>193</v>
      </c>
      <c r="Q71" s="29" t="s">
        <v>531</v>
      </c>
    </row>
    <row r="72" customFormat="false" ht="15" hidden="false" customHeight="false" outlineLevel="0" collapsed="false">
      <c r="A72" s="30" t="s">
        <v>56</v>
      </c>
      <c r="B72" s="30" t="s">
        <v>532</v>
      </c>
      <c r="C72" s="31" t="s">
        <v>533</v>
      </c>
      <c r="D72" s="32" t="n">
        <v>2</v>
      </c>
      <c r="E72" s="33" t="n">
        <v>10</v>
      </c>
      <c r="F72" s="33" t="n">
        <v>5</v>
      </c>
      <c r="G72" s="33" t="n">
        <v>5</v>
      </c>
      <c r="H72" s="30" t="s">
        <v>167</v>
      </c>
      <c r="I72" s="30" t="s">
        <v>534</v>
      </c>
      <c r="J72" s="30" t="s">
        <v>535</v>
      </c>
      <c r="K72" s="30" t="s">
        <v>536</v>
      </c>
      <c r="L72" s="30" t="s">
        <v>171</v>
      </c>
      <c r="M72" s="30" t="s">
        <v>172</v>
      </c>
      <c r="N72" s="30" t="s">
        <v>537</v>
      </c>
      <c r="O72" s="30" t="s">
        <v>538</v>
      </c>
      <c r="P72" s="30"/>
      <c r="Q72" s="34" t="s">
        <v>226</v>
      </c>
    </row>
    <row r="73" customFormat="false" ht="15" hidden="false" customHeight="false" outlineLevel="0" collapsed="false">
      <c r="A73" s="25" t="s">
        <v>59</v>
      </c>
      <c r="B73" s="25" t="s">
        <v>539</v>
      </c>
      <c r="C73" s="26" t="s">
        <v>540</v>
      </c>
      <c r="D73" s="27" t="n">
        <v>1</v>
      </c>
      <c r="E73" s="28" t="n">
        <v>5.75</v>
      </c>
      <c r="F73" s="28" t="n">
        <v>1</v>
      </c>
      <c r="G73" s="28" t="n">
        <v>4.75</v>
      </c>
      <c r="H73" s="25" t="s">
        <v>167</v>
      </c>
      <c r="I73" s="25" t="s">
        <v>541</v>
      </c>
      <c r="J73" s="25" t="s">
        <v>542</v>
      </c>
      <c r="K73" s="25" t="s">
        <v>543</v>
      </c>
      <c r="L73" s="25" t="s">
        <v>171</v>
      </c>
      <c r="M73" s="25" t="s">
        <v>183</v>
      </c>
      <c r="N73" s="25" t="s">
        <v>544</v>
      </c>
      <c r="O73" s="25" t="s">
        <v>545</v>
      </c>
      <c r="P73" s="25"/>
      <c r="Q73" s="29" t="s">
        <v>546</v>
      </c>
    </row>
    <row r="74" customFormat="false" ht="15" hidden="false" customHeight="false" outlineLevel="0" collapsed="false">
      <c r="A74" s="35" t="s">
        <v>51</v>
      </c>
      <c r="B74" s="35" t="s">
        <v>547</v>
      </c>
      <c r="C74" s="36" t="s">
        <v>548</v>
      </c>
      <c r="D74" s="37" t="n">
        <v>1</v>
      </c>
      <c r="E74" s="38" t="n">
        <v>5.25</v>
      </c>
      <c r="F74" s="38" t="n">
        <v>1</v>
      </c>
      <c r="G74" s="38" t="n">
        <v>4.25</v>
      </c>
      <c r="H74" s="35" t="s">
        <v>167</v>
      </c>
      <c r="I74" s="35" t="s">
        <v>304</v>
      </c>
      <c r="J74" s="35" t="s">
        <v>305</v>
      </c>
      <c r="K74" s="35" t="s">
        <v>306</v>
      </c>
      <c r="L74" s="35" t="s">
        <v>171</v>
      </c>
      <c r="M74" s="35" t="s">
        <v>183</v>
      </c>
      <c r="N74" s="35" t="s">
        <v>307</v>
      </c>
      <c r="O74" s="35" t="s">
        <v>174</v>
      </c>
      <c r="P74" s="35" t="s">
        <v>175</v>
      </c>
      <c r="Q74" s="39" t="s">
        <v>429</v>
      </c>
    </row>
    <row r="75" customFormat="false" ht="15" hidden="false" customHeight="false" outlineLevel="0" collapsed="false">
      <c r="A75" s="35" t="s">
        <v>51</v>
      </c>
      <c r="B75" s="35" t="s">
        <v>549</v>
      </c>
      <c r="C75" s="36" t="s">
        <v>550</v>
      </c>
      <c r="D75" s="37" t="n">
        <v>1</v>
      </c>
      <c r="E75" s="38" t="n">
        <v>5.25</v>
      </c>
      <c r="F75" s="38" t="n">
        <v>1</v>
      </c>
      <c r="G75" s="38" t="n">
        <v>4.25</v>
      </c>
      <c r="H75" s="35" t="s">
        <v>167</v>
      </c>
      <c r="I75" s="35" t="s">
        <v>494</v>
      </c>
      <c r="J75" s="35" t="s">
        <v>495</v>
      </c>
      <c r="K75" s="35" t="s">
        <v>496</v>
      </c>
      <c r="L75" s="35" t="s">
        <v>191</v>
      </c>
      <c r="M75" s="35" t="s">
        <v>172</v>
      </c>
      <c r="N75" s="35" t="s">
        <v>497</v>
      </c>
      <c r="O75" s="35" t="s">
        <v>498</v>
      </c>
      <c r="P75" s="35"/>
      <c r="Q75" s="39" t="s">
        <v>429</v>
      </c>
    </row>
    <row r="76" customFormat="false" ht="15" hidden="false" customHeight="false" outlineLevel="0" collapsed="false">
      <c r="A76" s="35" t="s">
        <v>51</v>
      </c>
      <c r="B76" s="35" t="s">
        <v>551</v>
      </c>
      <c r="C76" s="36" t="s">
        <v>552</v>
      </c>
      <c r="D76" s="37" t="n">
        <v>1</v>
      </c>
      <c r="E76" s="38" t="n">
        <v>5.25</v>
      </c>
      <c r="F76" s="38" t="n">
        <v>1</v>
      </c>
      <c r="G76" s="38" t="n">
        <v>4.25</v>
      </c>
      <c r="H76" s="35" t="s">
        <v>167</v>
      </c>
      <c r="I76" s="35" t="s">
        <v>553</v>
      </c>
      <c r="J76" s="35" t="s">
        <v>554</v>
      </c>
      <c r="K76" s="35" t="s">
        <v>266</v>
      </c>
      <c r="L76" s="35" t="s">
        <v>191</v>
      </c>
      <c r="M76" s="35" t="s">
        <v>172</v>
      </c>
      <c r="N76" s="35" t="s">
        <v>267</v>
      </c>
      <c r="O76" s="35" t="s">
        <v>268</v>
      </c>
      <c r="P76" s="35"/>
      <c r="Q76" s="39" t="s">
        <v>429</v>
      </c>
    </row>
    <row r="77" customFormat="false" ht="15" hidden="false" customHeight="false" outlineLevel="0" collapsed="false">
      <c r="A77" s="35" t="s">
        <v>51</v>
      </c>
      <c r="B77" s="35" t="s">
        <v>555</v>
      </c>
      <c r="C77" s="36" t="s">
        <v>556</v>
      </c>
      <c r="D77" s="37" t="n">
        <v>1</v>
      </c>
      <c r="E77" s="38" t="n">
        <v>5.25</v>
      </c>
      <c r="F77" s="38" t="n">
        <v>1</v>
      </c>
      <c r="G77" s="38" t="n">
        <v>4.25</v>
      </c>
      <c r="H77" s="35" t="s">
        <v>167</v>
      </c>
      <c r="I77" s="35" t="s">
        <v>553</v>
      </c>
      <c r="J77" s="35" t="s">
        <v>554</v>
      </c>
      <c r="K77" s="35" t="s">
        <v>266</v>
      </c>
      <c r="L77" s="35" t="s">
        <v>191</v>
      </c>
      <c r="M77" s="35" t="s">
        <v>172</v>
      </c>
      <c r="N77" s="35" t="s">
        <v>267</v>
      </c>
      <c r="O77" s="35" t="s">
        <v>268</v>
      </c>
      <c r="P77" s="35"/>
      <c r="Q77" s="39" t="s">
        <v>429</v>
      </c>
    </row>
    <row r="78" customFormat="false" ht="15" hidden="false" customHeight="false" outlineLevel="0" collapsed="false">
      <c r="A78" s="35" t="s">
        <v>51</v>
      </c>
      <c r="B78" s="35" t="s">
        <v>557</v>
      </c>
      <c r="C78" s="36" t="s">
        <v>558</v>
      </c>
      <c r="D78" s="37" t="n">
        <v>1</v>
      </c>
      <c r="E78" s="38" t="n">
        <v>5.25</v>
      </c>
      <c r="F78" s="38" t="n">
        <v>1</v>
      </c>
      <c r="G78" s="38" t="n">
        <v>4.25</v>
      </c>
      <c r="H78" s="35" t="s">
        <v>167</v>
      </c>
      <c r="I78" s="35" t="s">
        <v>553</v>
      </c>
      <c r="J78" s="35" t="s">
        <v>554</v>
      </c>
      <c r="K78" s="35" t="s">
        <v>266</v>
      </c>
      <c r="L78" s="35" t="s">
        <v>191</v>
      </c>
      <c r="M78" s="35" t="s">
        <v>172</v>
      </c>
      <c r="N78" s="35" t="s">
        <v>267</v>
      </c>
      <c r="O78" s="35" t="s">
        <v>268</v>
      </c>
      <c r="P78" s="35"/>
      <c r="Q78" s="39" t="s">
        <v>429</v>
      </c>
    </row>
    <row r="79" customFormat="false" ht="15" hidden="false" customHeight="false" outlineLevel="0" collapsed="false">
      <c r="A79" s="25" t="s">
        <v>63</v>
      </c>
      <c r="B79" s="25" t="s">
        <v>559</v>
      </c>
      <c r="C79" s="26" t="s">
        <v>560</v>
      </c>
      <c r="D79" s="27" t="n">
        <v>1</v>
      </c>
      <c r="E79" s="28" t="n">
        <v>5.25</v>
      </c>
      <c r="F79" s="28" t="n">
        <v>1</v>
      </c>
      <c r="G79" s="28" t="n">
        <v>4.25</v>
      </c>
      <c r="H79" s="25" t="s">
        <v>167</v>
      </c>
      <c r="I79" s="25" t="s">
        <v>561</v>
      </c>
      <c r="J79" s="25" t="s">
        <v>562</v>
      </c>
      <c r="K79" s="25" t="s">
        <v>563</v>
      </c>
      <c r="L79" s="25" t="s">
        <v>191</v>
      </c>
      <c r="M79" s="25" t="s">
        <v>172</v>
      </c>
      <c r="N79" s="25" t="s">
        <v>564</v>
      </c>
      <c r="O79" s="25" t="s">
        <v>435</v>
      </c>
      <c r="P79" s="25" t="s">
        <v>193</v>
      </c>
      <c r="Q79" s="29" t="s">
        <v>429</v>
      </c>
    </row>
    <row r="80" customFormat="false" ht="15" hidden="false" customHeight="false" outlineLevel="0" collapsed="false">
      <c r="A80" s="30" t="s">
        <v>44</v>
      </c>
      <c r="B80" s="30" t="s">
        <v>565</v>
      </c>
      <c r="C80" s="31" t="s">
        <v>566</v>
      </c>
      <c r="D80" s="32" t="n">
        <v>2</v>
      </c>
      <c r="E80" s="33" t="n">
        <v>14.2</v>
      </c>
      <c r="F80" s="33" t="n">
        <v>10</v>
      </c>
      <c r="G80" s="33" t="n">
        <v>4.2</v>
      </c>
      <c r="H80" s="30" t="s">
        <v>167</v>
      </c>
      <c r="I80" s="30" t="s">
        <v>567</v>
      </c>
      <c r="J80" s="30" t="s">
        <v>568</v>
      </c>
      <c r="K80" s="30" t="s">
        <v>569</v>
      </c>
      <c r="L80" s="30" t="s">
        <v>191</v>
      </c>
      <c r="M80" s="30" t="s">
        <v>172</v>
      </c>
      <c r="N80" s="30" t="s">
        <v>570</v>
      </c>
      <c r="O80" s="30" t="s">
        <v>571</v>
      </c>
      <c r="P80" s="30"/>
      <c r="Q80" s="34" t="s">
        <v>572</v>
      </c>
    </row>
    <row r="81" customFormat="false" ht="15" hidden="false" customHeight="false" outlineLevel="0" collapsed="false">
      <c r="A81" s="25" t="s">
        <v>76</v>
      </c>
      <c r="B81" s="25" t="s">
        <v>573</v>
      </c>
      <c r="C81" s="26" t="s">
        <v>574</v>
      </c>
      <c r="D81" s="27" t="n">
        <v>1</v>
      </c>
      <c r="E81" s="28" t="n">
        <v>13.75</v>
      </c>
      <c r="F81" s="28" t="n">
        <v>9.63</v>
      </c>
      <c r="G81" s="28" t="n">
        <v>4.12</v>
      </c>
      <c r="H81" s="25" t="s">
        <v>167</v>
      </c>
      <c r="I81" s="25" t="s">
        <v>575</v>
      </c>
      <c r="J81" s="25" t="s">
        <v>576</v>
      </c>
      <c r="K81" s="25" t="s">
        <v>577</v>
      </c>
      <c r="L81" s="25" t="s">
        <v>191</v>
      </c>
      <c r="M81" s="25" t="s">
        <v>172</v>
      </c>
      <c r="N81" s="25" t="s">
        <v>200</v>
      </c>
      <c r="O81" s="25" t="s">
        <v>174</v>
      </c>
      <c r="P81" s="25" t="s">
        <v>193</v>
      </c>
      <c r="Q81" s="29" t="s">
        <v>378</v>
      </c>
    </row>
    <row r="82" customFormat="false" ht="15" hidden="false" customHeight="false" outlineLevel="0" collapsed="false">
      <c r="A82" s="35" t="s">
        <v>64</v>
      </c>
      <c r="B82" s="35" t="s">
        <v>578</v>
      </c>
      <c r="C82" s="36" t="s">
        <v>579</v>
      </c>
      <c r="D82" s="37" t="n">
        <v>1</v>
      </c>
      <c r="E82" s="38" t="n">
        <v>4.95</v>
      </c>
      <c r="F82" s="38" t="n">
        <v>1</v>
      </c>
      <c r="G82" s="38" t="n">
        <v>3.95</v>
      </c>
      <c r="H82" s="35" t="s">
        <v>167</v>
      </c>
      <c r="I82" s="35" t="s">
        <v>520</v>
      </c>
      <c r="J82" s="35" t="s">
        <v>305</v>
      </c>
      <c r="K82" s="35" t="s">
        <v>521</v>
      </c>
      <c r="L82" s="35" t="s">
        <v>171</v>
      </c>
      <c r="M82" s="35" t="s">
        <v>183</v>
      </c>
      <c r="N82" s="35" t="s">
        <v>307</v>
      </c>
      <c r="O82" s="35" t="s">
        <v>174</v>
      </c>
      <c r="P82" s="35" t="s">
        <v>175</v>
      </c>
      <c r="Q82" s="39" t="s">
        <v>580</v>
      </c>
    </row>
    <row r="83" customFormat="false" ht="15" hidden="false" customHeight="false" outlineLevel="0" collapsed="false">
      <c r="A83" s="35" t="s">
        <v>51</v>
      </c>
      <c r="B83" s="35" t="s">
        <v>581</v>
      </c>
      <c r="C83" s="36" t="s">
        <v>582</v>
      </c>
      <c r="D83" s="37" t="n">
        <v>1</v>
      </c>
      <c r="E83" s="38" t="n">
        <v>5.25</v>
      </c>
      <c r="F83" s="38" t="n">
        <v>1.58</v>
      </c>
      <c r="G83" s="38" t="n">
        <v>3.67</v>
      </c>
      <c r="H83" s="35" t="s">
        <v>167</v>
      </c>
      <c r="I83" s="35" t="s">
        <v>583</v>
      </c>
      <c r="J83" s="35" t="s">
        <v>584</v>
      </c>
      <c r="K83" s="35" t="s">
        <v>585</v>
      </c>
      <c r="L83" s="35" t="s">
        <v>171</v>
      </c>
      <c r="M83" s="35" t="s">
        <v>183</v>
      </c>
      <c r="N83" s="35" t="s">
        <v>307</v>
      </c>
      <c r="O83" s="35" t="s">
        <v>174</v>
      </c>
      <c r="P83" s="35"/>
      <c r="Q83" s="39" t="s">
        <v>429</v>
      </c>
    </row>
    <row r="84" customFormat="false" ht="15" hidden="false" customHeight="false" outlineLevel="0" collapsed="false">
      <c r="A84" s="35" t="s">
        <v>47</v>
      </c>
      <c r="B84" s="35" t="s">
        <v>586</v>
      </c>
      <c r="C84" s="36" t="s">
        <v>587</v>
      </c>
      <c r="D84" s="37" t="n">
        <v>1</v>
      </c>
      <c r="E84" s="38" t="n">
        <v>4.5</v>
      </c>
      <c r="F84" s="38" t="n">
        <v>1</v>
      </c>
      <c r="G84" s="38" t="n">
        <v>3.5</v>
      </c>
      <c r="H84" s="35" t="s">
        <v>167</v>
      </c>
      <c r="I84" s="35" t="s">
        <v>374</v>
      </c>
      <c r="J84" s="35" t="s">
        <v>375</v>
      </c>
      <c r="K84" s="35" t="s">
        <v>376</v>
      </c>
      <c r="L84" s="35" t="s">
        <v>191</v>
      </c>
      <c r="M84" s="35" t="s">
        <v>172</v>
      </c>
      <c r="N84" s="35" t="s">
        <v>377</v>
      </c>
      <c r="O84" s="35" t="s">
        <v>239</v>
      </c>
      <c r="P84" s="35"/>
      <c r="Q84" s="39" t="s">
        <v>580</v>
      </c>
    </row>
    <row r="85" customFormat="false" ht="15" hidden="false" customHeight="false" outlineLevel="0" collapsed="false">
      <c r="A85" s="35" t="s">
        <v>47</v>
      </c>
      <c r="B85" s="35" t="s">
        <v>588</v>
      </c>
      <c r="C85" s="36" t="s">
        <v>589</v>
      </c>
      <c r="D85" s="37" t="n">
        <v>1</v>
      </c>
      <c r="E85" s="38" t="n">
        <v>4.5</v>
      </c>
      <c r="F85" s="38" t="n">
        <v>1</v>
      </c>
      <c r="G85" s="38" t="n">
        <v>3.5</v>
      </c>
      <c r="H85" s="35" t="s">
        <v>167</v>
      </c>
      <c r="I85" s="35" t="s">
        <v>374</v>
      </c>
      <c r="J85" s="35" t="s">
        <v>375</v>
      </c>
      <c r="K85" s="35" t="s">
        <v>376</v>
      </c>
      <c r="L85" s="35" t="s">
        <v>191</v>
      </c>
      <c r="M85" s="35" t="s">
        <v>172</v>
      </c>
      <c r="N85" s="35" t="s">
        <v>377</v>
      </c>
      <c r="O85" s="35" t="s">
        <v>239</v>
      </c>
      <c r="P85" s="35"/>
      <c r="Q85" s="39" t="s">
        <v>580</v>
      </c>
    </row>
    <row r="86" customFormat="false" ht="15" hidden="false" customHeight="false" outlineLevel="0" collapsed="false">
      <c r="A86" s="35" t="s">
        <v>47</v>
      </c>
      <c r="B86" s="35" t="s">
        <v>590</v>
      </c>
      <c r="C86" s="36" t="s">
        <v>591</v>
      </c>
      <c r="D86" s="37" t="n">
        <v>1</v>
      </c>
      <c r="E86" s="38" t="n">
        <v>4.5</v>
      </c>
      <c r="F86" s="38" t="n">
        <v>1</v>
      </c>
      <c r="G86" s="38" t="n">
        <v>3.5</v>
      </c>
      <c r="H86" s="35" t="s">
        <v>167</v>
      </c>
      <c r="I86" s="35" t="s">
        <v>374</v>
      </c>
      <c r="J86" s="35" t="s">
        <v>375</v>
      </c>
      <c r="K86" s="35" t="s">
        <v>376</v>
      </c>
      <c r="L86" s="35" t="s">
        <v>191</v>
      </c>
      <c r="M86" s="35" t="s">
        <v>172</v>
      </c>
      <c r="N86" s="35" t="s">
        <v>377</v>
      </c>
      <c r="O86" s="35" t="s">
        <v>239</v>
      </c>
      <c r="P86" s="35"/>
      <c r="Q86" s="39" t="s">
        <v>580</v>
      </c>
    </row>
    <row r="87" customFormat="false" ht="15" hidden="false" customHeight="false" outlineLevel="0" collapsed="false">
      <c r="A87" s="25" t="s">
        <v>44</v>
      </c>
      <c r="B87" s="25" t="s">
        <v>592</v>
      </c>
      <c r="C87" s="26" t="s">
        <v>593</v>
      </c>
      <c r="D87" s="27" t="n">
        <v>2</v>
      </c>
      <c r="E87" s="28" t="n">
        <v>10.25</v>
      </c>
      <c r="F87" s="28" t="n">
        <v>7.18</v>
      </c>
      <c r="G87" s="28" t="n">
        <v>3.07</v>
      </c>
      <c r="H87" s="25" t="s">
        <v>167</v>
      </c>
      <c r="I87" s="25" t="s">
        <v>594</v>
      </c>
      <c r="J87" s="25" t="s">
        <v>595</v>
      </c>
      <c r="K87" s="25" t="s">
        <v>596</v>
      </c>
      <c r="L87" s="25" t="s">
        <v>191</v>
      </c>
      <c r="M87" s="25" t="s">
        <v>172</v>
      </c>
      <c r="N87" s="25" t="s">
        <v>369</v>
      </c>
      <c r="O87" s="25" t="s">
        <v>174</v>
      </c>
      <c r="P87" s="25"/>
      <c r="Q87" s="29" t="s">
        <v>597</v>
      </c>
    </row>
    <row r="88" customFormat="false" ht="15" hidden="false" customHeight="false" outlineLevel="0" collapsed="false">
      <c r="A88" s="30" t="s">
        <v>72</v>
      </c>
      <c r="B88" s="30" t="s">
        <v>598</v>
      </c>
      <c r="C88" s="31" t="s">
        <v>599</v>
      </c>
      <c r="D88" s="32" t="n">
        <v>1</v>
      </c>
      <c r="E88" s="33" t="n">
        <v>23</v>
      </c>
      <c r="F88" s="33" t="n">
        <v>20</v>
      </c>
      <c r="G88" s="33" t="n">
        <v>3</v>
      </c>
      <c r="H88" s="30" t="s">
        <v>167</v>
      </c>
      <c r="I88" s="30" t="s">
        <v>600</v>
      </c>
      <c r="J88" s="30" t="s">
        <v>198</v>
      </c>
      <c r="K88" s="30" t="s">
        <v>601</v>
      </c>
      <c r="L88" s="30" t="s">
        <v>191</v>
      </c>
      <c r="M88" s="30" t="s">
        <v>172</v>
      </c>
      <c r="N88" s="30" t="s">
        <v>200</v>
      </c>
      <c r="O88" s="30" t="s">
        <v>174</v>
      </c>
      <c r="P88" s="30" t="s">
        <v>193</v>
      </c>
      <c r="Q88" s="34" t="s">
        <v>185</v>
      </c>
    </row>
    <row r="89" customFormat="false" ht="15" hidden="false" customHeight="false" outlineLevel="0" collapsed="false">
      <c r="A89" s="25" t="s">
        <v>66</v>
      </c>
      <c r="B89" s="25" t="s">
        <v>602</v>
      </c>
      <c r="C89" s="26" t="s">
        <v>603</v>
      </c>
      <c r="D89" s="27" t="n">
        <v>1</v>
      </c>
      <c r="E89" s="28" t="n">
        <v>3.95</v>
      </c>
      <c r="F89" s="28" t="n">
        <v>1</v>
      </c>
      <c r="G89" s="28" t="n">
        <v>2.95</v>
      </c>
      <c r="H89" s="25" t="s">
        <v>167</v>
      </c>
      <c r="I89" s="25" t="s">
        <v>604</v>
      </c>
      <c r="J89" s="25" t="s">
        <v>605</v>
      </c>
      <c r="K89" s="25" t="s">
        <v>606</v>
      </c>
      <c r="L89" s="25" t="s">
        <v>171</v>
      </c>
      <c r="M89" s="25" t="s">
        <v>183</v>
      </c>
      <c r="N89" s="25" t="s">
        <v>607</v>
      </c>
      <c r="O89" s="25" t="s">
        <v>268</v>
      </c>
      <c r="P89" s="25"/>
      <c r="Q89" s="29" t="s">
        <v>608</v>
      </c>
    </row>
    <row r="90" customFormat="false" ht="15" hidden="false" customHeight="false" outlineLevel="0" collapsed="false">
      <c r="A90" s="35" t="s">
        <v>51</v>
      </c>
      <c r="B90" s="35" t="s">
        <v>609</v>
      </c>
      <c r="C90" s="36" t="s">
        <v>610</v>
      </c>
      <c r="D90" s="37" t="n">
        <v>1</v>
      </c>
      <c r="E90" s="38" t="n">
        <v>3.95</v>
      </c>
      <c r="F90" s="38" t="n">
        <v>1</v>
      </c>
      <c r="G90" s="38" t="n">
        <v>2.95</v>
      </c>
      <c r="H90" s="35" t="s">
        <v>167</v>
      </c>
      <c r="I90" s="35" t="s">
        <v>494</v>
      </c>
      <c r="J90" s="35" t="s">
        <v>495</v>
      </c>
      <c r="K90" s="35" t="s">
        <v>496</v>
      </c>
      <c r="L90" s="35" t="s">
        <v>191</v>
      </c>
      <c r="M90" s="35" t="s">
        <v>172</v>
      </c>
      <c r="N90" s="35" t="s">
        <v>497</v>
      </c>
      <c r="O90" s="35" t="s">
        <v>498</v>
      </c>
      <c r="P90" s="35"/>
      <c r="Q90" s="39" t="s">
        <v>499</v>
      </c>
    </row>
    <row r="91" customFormat="false" ht="15" hidden="false" customHeight="false" outlineLevel="0" collapsed="false">
      <c r="A91" s="35" t="s">
        <v>47</v>
      </c>
      <c r="B91" s="35" t="s">
        <v>611</v>
      </c>
      <c r="C91" s="36" t="s">
        <v>612</v>
      </c>
      <c r="D91" s="37" t="n">
        <v>1</v>
      </c>
      <c r="E91" s="38" t="n">
        <v>3.95</v>
      </c>
      <c r="F91" s="38" t="n">
        <v>1</v>
      </c>
      <c r="G91" s="38" t="n">
        <v>2.95</v>
      </c>
      <c r="H91" s="35" t="s">
        <v>167</v>
      </c>
      <c r="I91" s="35" t="s">
        <v>374</v>
      </c>
      <c r="J91" s="35" t="s">
        <v>375</v>
      </c>
      <c r="K91" s="35" t="s">
        <v>376</v>
      </c>
      <c r="L91" s="35" t="s">
        <v>191</v>
      </c>
      <c r="M91" s="35" t="s">
        <v>172</v>
      </c>
      <c r="N91" s="35" t="s">
        <v>377</v>
      </c>
      <c r="O91" s="35" t="s">
        <v>239</v>
      </c>
      <c r="P91" s="35"/>
      <c r="Q91" s="39" t="s">
        <v>499</v>
      </c>
    </row>
    <row r="92" customFormat="false" ht="15" hidden="false" customHeight="false" outlineLevel="0" collapsed="false">
      <c r="A92" s="30" t="s">
        <v>66</v>
      </c>
      <c r="B92" s="30" t="s">
        <v>613</v>
      </c>
      <c r="C92" s="31" t="s">
        <v>614</v>
      </c>
      <c r="D92" s="32" t="n">
        <v>1</v>
      </c>
      <c r="E92" s="33" t="n">
        <v>3.95</v>
      </c>
      <c r="F92" s="33" t="n">
        <v>1</v>
      </c>
      <c r="G92" s="33" t="n">
        <v>2.95</v>
      </c>
      <c r="H92" s="30" t="s">
        <v>167</v>
      </c>
      <c r="I92" s="30" t="s">
        <v>615</v>
      </c>
      <c r="J92" s="30" t="s">
        <v>349</v>
      </c>
      <c r="K92" s="30" t="s">
        <v>616</v>
      </c>
      <c r="L92" s="30" t="s">
        <v>191</v>
      </c>
      <c r="M92" s="30" t="s">
        <v>172</v>
      </c>
      <c r="N92" s="30" t="s">
        <v>200</v>
      </c>
      <c r="O92" s="30" t="s">
        <v>174</v>
      </c>
      <c r="P92" s="30" t="s">
        <v>193</v>
      </c>
      <c r="Q92" s="34" t="s">
        <v>608</v>
      </c>
    </row>
    <row r="93" customFormat="false" ht="15" hidden="false" customHeight="false" outlineLevel="0" collapsed="false">
      <c r="A93" s="35" t="s">
        <v>51</v>
      </c>
      <c r="B93" s="35" t="s">
        <v>617</v>
      </c>
      <c r="C93" s="36" t="s">
        <v>618</v>
      </c>
      <c r="D93" s="37" t="n">
        <v>1</v>
      </c>
      <c r="E93" s="38" t="n">
        <v>3.95</v>
      </c>
      <c r="F93" s="38" t="n">
        <v>1.19</v>
      </c>
      <c r="G93" s="38" t="n">
        <v>2.76</v>
      </c>
      <c r="H93" s="35" t="s">
        <v>167</v>
      </c>
      <c r="I93" s="35" t="s">
        <v>494</v>
      </c>
      <c r="J93" s="35" t="s">
        <v>495</v>
      </c>
      <c r="K93" s="35" t="s">
        <v>496</v>
      </c>
      <c r="L93" s="35" t="s">
        <v>191</v>
      </c>
      <c r="M93" s="35" t="s">
        <v>172</v>
      </c>
      <c r="N93" s="35" t="s">
        <v>497</v>
      </c>
      <c r="O93" s="35" t="s">
        <v>498</v>
      </c>
      <c r="P93" s="35"/>
      <c r="Q93" s="39" t="s">
        <v>499</v>
      </c>
    </row>
    <row r="94" customFormat="false" ht="15" hidden="false" customHeight="false" outlineLevel="0" collapsed="false">
      <c r="A94" s="35" t="s">
        <v>51</v>
      </c>
      <c r="B94" s="35" t="s">
        <v>619</v>
      </c>
      <c r="C94" s="36" t="s">
        <v>620</v>
      </c>
      <c r="D94" s="37" t="n">
        <v>1</v>
      </c>
      <c r="E94" s="38" t="n">
        <v>3.95</v>
      </c>
      <c r="F94" s="38" t="n">
        <v>1.19</v>
      </c>
      <c r="G94" s="38" t="n">
        <v>2.76</v>
      </c>
      <c r="H94" s="35" t="s">
        <v>167</v>
      </c>
      <c r="I94" s="35" t="s">
        <v>583</v>
      </c>
      <c r="J94" s="35" t="s">
        <v>584</v>
      </c>
      <c r="K94" s="35" t="s">
        <v>585</v>
      </c>
      <c r="L94" s="35" t="s">
        <v>171</v>
      </c>
      <c r="M94" s="35" t="s">
        <v>183</v>
      </c>
      <c r="N94" s="35" t="s">
        <v>307</v>
      </c>
      <c r="O94" s="35" t="s">
        <v>174</v>
      </c>
      <c r="P94" s="35"/>
      <c r="Q94" s="39" t="s">
        <v>499</v>
      </c>
    </row>
    <row r="95" customFormat="false" ht="15" hidden="false" customHeight="false" outlineLevel="0" collapsed="false">
      <c r="A95" s="35" t="s">
        <v>51</v>
      </c>
      <c r="B95" s="35" t="s">
        <v>621</v>
      </c>
      <c r="C95" s="36" t="s">
        <v>622</v>
      </c>
      <c r="D95" s="37" t="n">
        <v>1</v>
      </c>
      <c r="E95" s="38" t="n">
        <v>3.95</v>
      </c>
      <c r="F95" s="38" t="n">
        <v>1.19</v>
      </c>
      <c r="G95" s="38" t="n">
        <v>2.76</v>
      </c>
      <c r="H95" s="35" t="s">
        <v>167</v>
      </c>
      <c r="I95" s="35" t="s">
        <v>494</v>
      </c>
      <c r="J95" s="35" t="s">
        <v>495</v>
      </c>
      <c r="K95" s="35" t="s">
        <v>496</v>
      </c>
      <c r="L95" s="35" t="s">
        <v>191</v>
      </c>
      <c r="M95" s="35" t="s">
        <v>172</v>
      </c>
      <c r="N95" s="35" t="s">
        <v>497</v>
      </c>
      <c r="O95" s="35" t="s">
        <v>498</v>
      </c>
      <c r="P95" s="35"/>
      <c r="Q95" s="39" t="s">
        <v>499</v>
      </c>
    </row>
    <row r="96" customFormat="false" ht="15" hidden="false" customHeight="false" outlineLevel="0" collapsed="false">
      <c r="A96" s="30" t="s">
        <v>51</v>
      </c>
      <c r="B96" s="30" t="s">
        <v>623</v>
      </c>
      <c r="C96" s="31" t="s">
        <v>624</v>
      </c>
      <c r="D96" s="32" t="n">
        <v>1</v>
      </c>
      <c r="E96" s="33" t="n">
        <v>4.95</v>
      </c>
      <c r="F96" s="33" t="n">
        <v>3.47</v>
      </c>
      <c r="G96" s="33" t="n">
        <v>1.48</v>
      </c>
      <c r="H96" s="30" t="s">
        <v>167</v>
      </c>
      <c r="I96" s="30" t="s">
        <v>625</v>
      </c>
      <c r="J96" s="30" t="s">
        <v>626</v>
      </c>
      <c r="K96" s="30" t="s">
        <v>627</v>
      </c>
      <c r="L96" s="30" t="s">
        <v>191</v>
      </c>
      <c r="M96" s="30" t="s">
        <v>628</v>
      </c>
      <c r="N96" s="30" t="s">
        <v>629</v>
      </c>
      <c r="O96" s="30" t="s">
        <v>630</v>
      </c>
      <c r="P96" s="30" t="s">
        <v>193</v>
      </c>
      <c r="Q96" s="34" t="s">
        <v>580</v>
      </c>
    </row>
    <row r="97" customFormat="false" ht="15" hidden="false" customHeight="false" outlineLevel="0" collapsed="false">
      <c r="A97" s="25" t="s">
        <v>63</v>
      </c>
      <c r="B97" s="25" t="s">
        <v>631</v>
      </c>
      <c r="C97" s="26" t="s">
        <v>632</v>
      </c>
      <c r="D97" s="27" t="n">
        <v>1</v>
      </c>
      <c r="E97" s="28" t="n">
        <v>4.25</v>
      </c>
      <c r="F97" s="28" t="n">
        <v>2.98</v>
      </c>
      <c r="G97" s="28" t="n">
        <v>1.27</v>
      </c>
      <c r="H97" s="25" t="s">
        <v>167</v>
      </c>
      <c r="I97" s="25" t="s">
        <v>633</v>
      </c>
      <c r="J97" s="25" t="s">
        <v>634</v>
      </c>
      <c r="K97" s="25" t="s">
        <v>635</v>
      </c>
      <c r="L97" s="25" t="s">
        <v>191</v>
      </c>
      <c r="M97" s="25" t="s">
        <v>172</v>
      </c>
      <c r="N97" s="25" t="s">
        <v>200</v>
      </c>
      <c r="O97" s="25" t="s">
        <v>174</v>
      </c>
      <c r="P97" s="25" t="s">
        <v>193</v>
      </c>
      <c r="Q97" s="29" t="s">
        <v>636</v>
      </c>
    </row>
    <row r="98" customFormat="false" ht="15" hidden="false" customHeight="false" outlineLevel="0" collapsed="false">
      <c r="A98" s="30" t="s">
        <v>51</v>
      </c>
      <c r="B98" s="30" t="s">
        <v>637</v>
      </c>
      <c r="C98" s="31" t="s">
        <v>638</v>
      </c>
      <c r="D98" s="32" t="n">
        <v>1</v>
      </c>
      <c r="E98" s="33" t="n">
        <v>3.95</v>
      </c>
      <c r="F98" s="33" t="n">
        <v>2.77</v>
      </c>
      <c r="G98" s="33" t="n">
        <v>1.18</v>
      </c>
      <c r="H98" s="30" t="s">
        <v>167</v>
      </c>
      <c r="I98" s="30" t="s">
        <v>639</v>
      </c>
      <c r="J98" s="30" t="s">
        <v>640</v>
      </c>
      <c r="K98" s="30" t="s">
        <v>641</v>
      </c>
      <c r="L98" s="30" t="s">
        <v>171</v>
      </c>
      <c r="M98" s="30" t="s">
        <v>172</v>
      </c>
      <c r="N98" s="30" t="s">
        <v>642</v>
      </c>
      <c r="O98" s="30" t="s">
        <v>174</v>
      </c>
      <c r="P98" s="30" t="s">
        <v>184</v>
      </c>
      <c r="Q98" s="34" t="s">
        <v>499</v>
      </c>
    </row>
    <row r="99" customFormat="false" ht="15" hidden="false" customHeight="false" outlineLevel="0" collapsed="false">
      <c r="A99" s="40" t="s">
        <v>643</v>
      </c>
      <c r="E99" s="41" t="n">
        <f aca="false">SUM(E5:E98)</f>
        <v>1942.5</v>
      </c>
      <c r="F99" s="41" t="n">
        <f aca="false">SUM(F5:F98)</f>
        <v>509.77</v>
      </c>
      <c r="G99" s="41" t="n">
        <f aca="false">SUM(G5:G98)</f>
        <v>1432.73</v>
      </c>
    </row>
  </sheetData>
  <autoFilter ref="A4:Q98"/>
  <conditionalFormatting sqref="G5:G98">
    <cfRule type="colorScale" priority="2">
      <colorScale>
        <cfvo type="min" val="0"/>
        <cfvo type="percentile" val="50"/>
        <cfvo type="max" val="0"/>
        <color rgb="FFFFF4F4"/>
        <color rgb="FFF4A261"/>
        <color rgb="FFC94C4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5" min="4" style="1" width="12"/>
    <col collapsed="false" customWidth="true" hidden="false" outlineLevel="0" max="6" min="6" style="1" width="32"/>
    <col collapsed="false" customWidth="true" hidden="false" outlineLevel="0" max="7" min="7" style="1" width="28"/>
    <col collapsed="false" customWidth="true" hidden="false" outlineLevel="0" max="8" min="8" style="1" width="10"/>
  </cols>
  <sheetData>
    <row r="1" customFormat="false" ht="19.5" hidden="false" customHeight="true" outlineLevel="0" collapsed="false">
      <c r="A1" s="42" t="s">
        <v>644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645</v>
      </c>
      <c r="B2" s="43"/>
      <c r="C2" s="43"/>
      <c r="D2" s="43"/>
      <c r="E2" s="43"/>
      <c r="F2" s="43"/>
      <c r="G2" s="43"/>
      <c r="H2" s="43"/>
    </row>
    <row r="4" customFormat="false" ht="15" hidden="false" customHeight="true" outlineLevel="0" collapsed="false">
      <c r="A4" s="44" t="s">
        <v>35</v>
      </c>
      <c r="B4" s="44" t="s">
        <v>151</v>
      </c>
      <c r="C4" s="44" t="s">
        <v>646</v>
      </c>
      <c r="D4" s="44" t="s">
        <v>647</v>
      </c>
      <c r="E4" s="44" t="s">
        <v>648</v>
      </c>
      <c r="F4" s="44" t="s">
        <v>649</v>
      </c>
      <c r="G4" s="44" t="s">
        <v>650</v>
      </c>
      <c r="H4" s="44" t="s">
        <v>651</v>
      </c>
    </row>
    <row r="5" customFormat="false" ht="15" hidden="false" customHeight="true" outlineLevel="0" collapsed="false">
      <c r="A5" s="45" t="s">
        <v>71</v>
      </c>
      <c r="B5" s="45" t="s">
        <v>652</v>
      </c>
      <c r="C5" s="45" t="s">
        <v>653</v>
      </c>
      <c r="D5" s="46" t="n">
        <v>69</v>
      </c>
      <c r="E5" s="46" t="n">
        <v>69</v>
      </c>
      <c r="F5" s="45" t="s">
        <v>185</v>
      </c>
      <c r="G5" s="45"/>
      <c r="H5" s="45" t="s">
        <v>654</v>
      </c>
    </row>
    <row r="6" customFormat="false" ht="15" hidden="false" customHeight="true" outlineLevel="0" collapsed="false">
      <c r="A6" s="47" t="s">
        <v>65</v>
      </c>
      <c r="B6" s="47" t="s">
        <v>655</v>
      </c>
      <c r="C6" s="47" t="s">
        <v>656</v>
      </c>
      <c r="D6" s="48" t="n">
        <v>35.9</v>
      </c>
      <c r="E6" s="48" t="n">
        <v>35.9</v>
      </c>
      <c r="F6" s="47" t="s">
        <v>215</v>
      </c>
      <c r="G6" s="47" t="s">
        <v>657</v>
      </c>
      <c r="H6" s="47" t="s">
        <v>658</v>
      </c>
    </row>
    <row r="7" customFormat="false" ht="15" hidden="false" customHeight="true" outlineLevel="0" collapsed="false">
      <c r="A7" s="45" t="s">
        <v>65</v>
      </c>
      <c r="B7" s="45" t="s">
        <v>659</v>
      </c>
      <c r="C7" s="45" t="s">
        <v>660</v>
      </c>
      <c r="D7" s="46" t="n">
        <v>35.9</v>
      </c>
      <c r="E7" s="46" t="n">
        <v>35.9</v>
      </c>
      <c r="F7" s="45" t="s">
        <v>215</v>
      </c>
      <c r="G7" s="45" t="s">
        <v>657</v>
      </c>
      <c r="H7" s="45" t="s">
        <v>658</v>
      </c>
    </row>
    <row r="8" customFormat="false" ht="15" hidden="false" customHeight="true" outlineLevel="0" collapsed="false">
      <c r="A8" s="47" t="s">
        <v>65</v>
      </c>
      <c r="B8" s="47" t="s">
        <v>661</v>
      </c>
      <c r="C8" s="47" t="s">
        <v>662</v>
      </c>
      <c r="D8" s="48" t="n">
        <v>35.9</v>
      </c>
      <c r="E8" s="48" t="n">
        <v>35.9</v>
      </c>
      <c r="F8" s="47" t="s">
        <v>215</v>
      </c>
      <c r="G8" s="47" t="s">
        <v>657</v>
      </c>
      <c r="H8" s="47" t="s">
        <v>658</v>
      </c>
    </row>
    <row r="9" customFormat="false" ht="15" hidden="false" customHeight="true" outlineLevel="0" collapsed="false">
      <c r="A9" s="45" t="s">
        <v>65</v>
      </c>
      <c r="B9" s="45" t="s">
        <v>663</v>
      </c>
      <c r="C9" s="45" t="s">
        <v>664</v>
      </c>
      <c r="D9" s="46" t="n">
        <v>35.9</v>
      </c>
      <c r="E9" s="46" t="n">
        <v>35.9</v>
      </c>
      <c r="F9" s="45" t="s">
        <v>215</v>
      </c>
      <c r="G9" s="45" t="s">
        <v>657</v>
      </c>
      <c r="H9" s="45" t="s">
        <v>658</v>
      </c>
    </row>
    <row r="10" customFormat="false" ht="15" hidden="false" customHeight="true" outlineLevel="0" collapsed="false">
      <c r="A10" s="47" t="s">
        <v>71</v>
      </c>
      <c r="B10" s="47" t="s">
        <v>665</v>
      </c>
      <c r="C10" s="47" t="s">
        <v>666</v>
      </c>
      <c r="D10" s="48" t="n">
        <v>26</v>
      </c>
      <c r="E10" s="48" t="n">
        <v>26</v>
      </c>
      <c r="F10" s="47" t="s">
        <v>667</v>
      </c>
      <c r="G10" s="47"/>
      <c r="H10" s="47" t="s">
        <v>668</v>
      </c>
    </row>
    <row r="11" customFormat="false" ht="15" hidden="false" customHeight="true" outlineLevel="0" collapsed="false">
      <c r="A11" s="45" t="s">
        <v>75</v>
      </c>
      <c r="B11" s="45" t="s">
        <v>669</v>
      </c>
      <c r="C11" s="45" t="s">
        <v>670</v>
      </c>
      <c r="D11" s="46" t="n">
        <v>21.75</v>
      </c>
      <c r="E11" s="46" t="n">
        <v>21.75</v>
      </c>
      <c r="F11" s="45" t="s">
        <v>261</v>
      </c>
      <c r="G11" s="45" t="s">
        <v>671</v>
      </c>
      <c r="H11" s="45" t="s">
        <v>672</v>
      </c>
    </row>
    <row r="12" customFormat="false" ht="15" hidden="false" customHeight="true" outlineLevel="0" collapsed="false">
      <c r="A12" s="47" t="s">
        <v>57</v>
      </c>
      <c r="B12" s="47" t="s">
        <v>673</v>
      </c>
      <c r="C12" s="47" t="s">
        <v>674</v>
      </c>
      <c r="D12" s="48" t="n">
        <v>20</v>
      </c>
      <c r="E12" s="48" t="n">
        <v>20</v>
      </c>
      <c r="F12" s="47" t="s">
        <v>226</v>
      </c>
      <c r="G12" s="47"/>
      <c r="H12" s="47" t="s">
        <v>675</v>
      </c>
    </row>
    <row r="13" customFormat="false" ht="15" hidden="false" customHeight="true" outlineLevel="0" collapsed="false">
      <c r="A13" s="45" t="s">
        <v>56</v>
      </c>
      <c r="B13" s="45" t="s">
        <v>676</v>
      </c>
      <c r="C13" s="45" t="s">
        <v>677</v>
      </c>
      <c r="D13" s="46" t="n">
        <v>20</v>
      </c>
      <c r="E13" s="46" t="n">
        <v>20</v>
      </c>
      <c r="F13" s="45" t="s">
        <v>240</v>
      </c>
      <c r="G13" s="45" t="s">
        <v>678</v>
      </c>
      <c r="H13" s="45" t="s">
        <v>679</v>
      </c>
    </row>
    <row r="14" customFormat="false" ht="15" hidden="false" customHeight="true" outlineLevel="0" collapsed="false">
      <c r="A14" s="47" t="s">
        <v>75</v>
      </c>
      <c r="B14" s="47" t="s">
        <v>680</v>
      </c>
      <c r="C14" s="47" t="s">
        <v>681</v>
      </c>
      <c r="D14" s="48" t="n">
        <v>14.5</v>
      </c>
      <c r="E14" s="48" t="n">
        <v>14.5</v>
      </c>
      <c r="F14" s="47" t="s">
        <v>261</v>
      </c>
      <c r="G14" s="47" t="s">
        <v>671</v>
      </c>
      <c r="H14" s="47" t="s">
        <v>672</v>
      </c>
    </row>
    <row r="15" customFormat="false" ht="15" hidden="false" customHeight="true" outlineLevel="0" collapsed="false">
      <c r="A15" s="45" t="s">
        <v>47</v>
      </c>
      <c r="B15" s="45" t="s">
        <v>682</v>
      </c>
      <c r="C15" s="45" t="s">
        <v>683</v>
      </c>
      <c r="D15" s="46" t="n">
        <v>13.75</v>
      </c>
      <c r="E15" s="46" t="n">
        <v>13.75</v>
      </c>
      <c r="F15" s="45" t="s">
        <v>378</v>
      </c>
      <c r="G15" s="45"/>
      <c r="H15" s="45"/>
    </row>
    <row r="16" customFormat="false" ht="15" hidden="false" customHeight="true" outlineLevel="0" collapsed="false">
      <c r="A16" s="47" t="s">
        <v>65</v>
      </c>
      <c r="B16" s="47" t="s">
        <v>663</v>
      </c>
      <c r="C16" s="47" t="s">
        <v>684</v>
      </c>
      <c r="D16" s="48" t="n">
        <v>13.75</v>
      </c>
      <c r="E16" s="48" t="n">
        <v>13.75</v>
      </c>
      <c r="F16" s="47" t="s">
        <v>378</v>
      </c>
      <c r="G16" s="47" t="s">
        <v>685</v>
      </c>
      <c r="H16" s="47" t="s">
        <v>686</v>
      </c>
    </row>
    <row r="17" customFormat="false" ht="15" hidden="false" customHeight="true" outlineLevel="0" collapsed="false">
      <c r="A17" s="45" t="s">
        <v>65</v>
      </c>
      <c r="B17" s="45" t="s">
        <v>687</v>
      </c>
      <c r="C17" s="45" t="s">
        <v>688</v>
      </c>
      <c r="D17" s="46" t="n">
        <v>11.75</v>
      </c>
      <c r="E17" s="46" t="n">
        <v>11.75</v>
      </c>
      <c r="F17" s="45" t="s">
        <v>398</v>
      </c>
      <c r="G17" s="45" t="s">
        <v>689</v>
      </c>
      <c r="H17" s="45" t="s">
        <v>690</v>
      </c>
    </row>
    <row r="18" customFormat="false" ht="15" hidden="false" customHeight="true" outlineLevel="0" collapsed="false">
      <c r="A18" s="47" t="s">
        <v>57</v>
      </c>
      <c r="B18" s="47" t="s">
        <v>691</v>
      </c>
      <c r="C18" s="47" t="s">
        <v>692</v>
      </c>
      <c r="D18" s="48" t="n">
        <v>10</v>
      </c>
      <c r="E18" s="48" t="n">
        <v>10</v>
      </c>
      <c r="F18" s="47" t="s">
        <v>226</v>
      </c>
      <c r="G18" s="47"/>
      <c r="H18" s="47" t="s">
        <v>693</v>
      </c>
    </row>
    <row r="19" customFormat="false" ht="15" hidden="false" customHeight="true" outlineLevel="0" collapsed="false">
      <c r="A19" s="45" t="s">
        <v>57</v>
      </c>
      <c r="B19" s="45" t="s">
        <v>694</v>
      </c>
      <c r="C19" s="45" t="s">
        <v>695</v>
      </c>
      <c r="D19" s="46" t="n">
        <v>10</v>
      </c>
      <c r="E19" s="46" t="n">
        <v>10</v>
      </c>
      <c r="F19" s="45" t="s">
        <v>226</v>
      </c>
      <c r="G19" s="45"/>
      <c r="H19" s="45" t="s">
        <v>675</v>
      </c>
    </row>
    <row r="20" customFormat="false" ht="15" hidden="false" customHeight="true" outlineLevel="0" collapsed="false">
      <c r="A20" s="47" t="s">
        <v>57</v>
      </c>
      <c r="B20" s="47" t="s">
        <v>694</v>
      </c>
      <c r="C20" s="47" t="s">
        <v>696</v>
      </c>
      <c r="D20" s="48" t="n">
        <v>10</v>
      </c>
      <c r="E20" s="48" t="n">
        <v>10</v>
      </c>
      <c r="F20" s="47" t="s">
        <v>441</v>
      </c>
      <c r="G20" s="47"/>
      <c r="H20" s="47" t="s">
        <v>697</v>
      </c>
    </row>
    <row r="21" customFormat="false" ht="15" hidden="false" customHeight="true" outlineLevel="0" collapsed="false">
      <c r="A21" s="45" t="s">
        <v>57</v>
      </c>
      <c r="B21" s="45" t="s">
        <v>698</v>
      </c>
      <c r="C21" s="45" t="s">
        <v>699</v>
      </c>
      <c r="D21" s="46" t="n">
        <v>10</v>
      </c>
      <c r="E21" s="46" t="n">
        <v>10</v>
      </c>
      <c r="F21" s="45" t="s">
        <v>226</v>
      </c>
      <c r="G21" s="45"/>
      <c r="H21" s="45" t="s">
        <v>693</v>
      </c>
    </row>
    <row r="22" customFormat="false" ht="15" hidden="false" customHeight="true" outlineLevel="0" collapsed="false">
      <c r="A22" s="47" t="s">
        <v>57</v>
      </c>
      <c r="B22" s="47" t="s">
        <v>698</v>
      </c>
      <c r="C22" s="47" t="s">
        <v>700</v>
      </c>
      <c r="D22" s="48" t="n">
        <v>10</v>
      </c>
      <c r="E22" s="48" t="n">
        <v>10</v>
      </c>
      <c r="F22" s="47" t="s">
        <v>226</v>
      </c>
      <c r="G22" s="47"/>
      <c r="H22" s="47" t="s">
        <v>675</v>
      </c>
    </row>
    <row r="23" customFormat="false" ht="15" hidden="false" customHeight="true" outlineLevel="0" collapsed="false">
      <c r="A23" s="45" t="s">
        <v>57</v>
      </c>
      <c r="B23" s="45" t="s">
        <v>698</v>
      </c>
      <c r="C23" s="45" t="s">
        <v>701</v>
      </c>
      <c r="D23" s="46" t="n">
        <v>10</v>
      </c>
      <c r="E23" s="46" t="n">
        <v>10</v>
      </c>
      <c r="F23" s="45" t="s">
        <v>441</v>
      </c>
      <c r="G23" s="45"/>
      <c r="H23" s="45" t="s">
        <v>697</v>
      </c>
    </row>
    <row r="24" customFormat="false" ht="15" hidden="false" customHeight="true" outlineLevel="0" collapsed="false">
      <c r="A24" s="47" t="s">
        <v>57</v>
      </c>
      <c r="B24" s="47" t="s">
        <v>702</v>
      </c>
      <c r="C24" s="47" t="s">
        <v>703</v>
      </c>
      <c r="D24" s="48" t="n">
        <v>10</v>
      </c>
      <c r="E24" s="48" t="n">
        <v>10</v>
      </c>
      <c r="F24" s="47" t="s">
        <v>704</v>
      </c>
      <c r="G24" s="47" t="s">
        <v>705</v>
      </c>
      <c r="H24" s="47" t="s">
        <v>706</v>
      </c>
    </row>
    <row r="25" customFormat="false" ht="15" hidden="false" customHeight="true" outlineLevel="0" collapsed="false">
      <c r="A25" s="45" t="s">
        <v>67</v>
      </c>
      <c r="B25" s="45" t="s">
        <v>707</v>
      </c>
      <c r="C25" s="45" t="s">
        <v>708</v>
      </c>
      <c r="D25" s="46" t="n">
        <v>8.95</v>
      </c>
      <c r="E25" s="46" t="n">
        <v>8.95</v>
      </c>
      <c r="F25" s="45" t="s">
        <v>709</v>
      </c>
      <c r="G25" s="45" t="s">
        <v>710</v>
      </c>
      <c r="H25" s="45" t="s">
        <v>672</v>
      </c>
    </row>
    <row r="26" customFormat="false" ht="15" hidden="false" customHeight="true" outlineLevel="0" collapsed="false">
      <c r="A26" s="47" t="s">
        <v>75</v>
      </c>
      <c r="B26" s="47" t="s">
        <v>711</v>
      </c>
      <c r="C26" s="47" t="s">
        <v>712</v>
      </c>
      <c r="D26" s="48" t="n">
        <v>7.25</v>
      </c>
      <c r="E26" s="48" t="n">
        <v>7.25</v>
      </c>
      <c r="F26" s="47" t="s">
        <v>261</v>
      </c>
      <c r="G26" s="47" t="s">
        <v>671</v>
      </c>
      <c r="H26" s="47" t="s">
        <v>672</v>
      </c>
    </row>
    <row r="27" customFormat="false" ht="15" hidden="false" customHeight="true" outlineLevel="0" collapsed="false">
      <c r="A27" s="45" t="s">
        <v>75</v>
      </c>
      <c r="B27" s="45" t="s">
        <v>713</v>
      </c>
      <c r="C27" s="45" t="s">
        <v>714</v>
      </c>
      <c r="D27" s="46" t="n">
        <v>7.25</v>
      </c>
      <c r="E27" s="46" t="n">
        <v>7.25</v>
      </c>
      <c r="F27" s="45" t="s">
        <v>261</v>
      </c>
      <c r="G27" s="45" t="s">
        <v>671</v>
      </c>
      <c r="H27" s="45" t="s">
        <v>672</v>
      </c>
    </row>
    <row r="28" customFormat="false" ht="15" hidden="false" customHeight="true" outlineLevel="0" collapsed="false">
      <c r="A28" s="47" t="s">
        <v>75</v>
      </c>
      <c r="B28" s="47" t="s">
        <v>715</v>
      </c>
      <c r="C28" s="47" t="s">
        <v>716</v>
      </c>
      <c r="D28" s="48" t="n">
        <v>7.25</v>
      </c>
      <c r="E28" s="48" t="n">
        <v>7.25</v>
      </c>
      <c r="F28" s="47" t="s">
        <v>261</v>
      </c>
      <c r="G28" s="47" t="s">
        <v>671</v>
      </c>
      <c r="H28" s="47" t="s">
        <v>672</v>
      </c>
    </row>
    <row r="29" customFormat="false" ht="15" hidden="false" customHeight="true" outlineLevel="0" collapsed="false">
      <c r="A29" s="45" t="s">
        <v>67</v>
      </c>
      <c r="B29" s="45" t="s">
        <v>717</v>
      </c>
      <c r="C29" s="45" t="s">
        <v>718</v>
      </c>
      <c r="D29" s="46" t="n">
        <v>6.95</v>
      </c>
      <c r="E29" s="46" t="n">
        <v>6.95</v>
      </c>
      <c r="F29" s="45" t="s">
        <v>719</v>
      </c>
      <c r="G29" s="45" t="s">
        <v>657</v>
      </c>
      <c r="H29" s="45" t="s">
        <v>686</v>
      </c>
    </row>
    <row r="30" customFormat="false" ht="15" hidden="false" customHeight="true" outlineLevel="0" collapsed="false">
      <c r="A30" s="47" t="s">
        <v>67</v>
      </c>
      <c r="B30" s="47" t="s">
        <v>720</v>
      </c>
      <c r="C30" s="47" t="s">
        <v>721</v>
      </c>
      <c r="D30" s="48" t="n">
        <v>6.25</v>
      </c>
      <c r="E30" s="48" t="n">
        <v>6.25</v>
      </c>
      <c r="F30" s="47" t="s">
        <v>505</v>
      </c>
      <c r="G30" s="47"/>
      <c r="H30" s="47"/>
    </row>
    <row r="31" customFormat="false" ht="15" hidden="false" customHeight="true" outlineLevel="0" collapsed="false">
      <c r="A31" s="45" t="s">
        <v>67</v>
      </c>
      <c r="B31" s="45" t="s">
        <v>707</v>
      </c>
      <c r="C31" s="45" t="s">
        <v>722</v>
      </c>
      <c r="D31" s="46" t="n">
        <v>6.25</v>
      </c>
      <c r="E31" s="46" t="n">
        <v>6.25</v>
      </c>
      <c r="F31" s="45" t="s">
        <v>505</v>
      </c>
      <c r="G31" s="45" t="s">
        <v>723</v>
      </c>
      <c r="H31" s="45" t="s">
        <v>724</v>
      </c>
    </row>
    <row r="32" customFormat="false" ht="15" hidden="false" customHeight="true" outlineLevel="0" collapsed="false">
      <c r="A32" s="47" t="s">
        <v>67</v>
      </c>
      <c r="B32" s="47" t="s">
        <v>717</v>
      </c>
      <c r="C32" s="47" t="s">
        <v>725</v>
      </c>
      <c r="D32" s="48" t="n">
        <v>6.25</v>
      </c>
      <c r="E32" s="48" t="n">
        <v>6.25</v>
      </c>
      <c r="F32" s="47" t="s">
        <v>505</v>
      </c>
      <c r="G32" s="47" t="s">
        <v>723</v>
      </c>
      <c r="H32" s="47" t="s">
        <v>724</v>
      </c>
    </row>
    <row r="33" customFormat="false" ht="15" hidden="false" customHeight="true" outlineLevel="0" collapsed="false">
      <c r="A33" s="45" t="s">
        <v>67</v>
      </c>
      <c r="B33" s="45" t="s">
        <v>726</v>
      </c>
      <c r="C33" s="45" t="s">
        <v>727</v>
      </c>
      <c r="D33" s="46" t="n">
        <v>6.25</v>
      </c>
      <c r="E33" s="46" t="n">
        <v>6.25</v>
      </c>
      <c r="F33" s="45" t="s">
        <v>505</v>
      </c>
      <c r="G33" s="45" t="s">
        <v>723</v>
      </c>
      <c r="H33" s="45" t="s">
        <v>724</v>
      </c>
    </row>
    <row r="34" customFormat="false" ht="15" hidden="false" customHeight="true" outlineLevel="0" collapsed="false">
      <c r="A34" s="47" t="s">
        <v>53</v>
      </c>
      <c r="B34" s="47" t="s">
        <v>728</v>
      </c>
      <c r="C34" s="47" t="s">
        <v>729</v>
      </c>
      <c r="D34" s="48" t="n">
        <v>5.75</v>
      </c>
      <c r="E34" s="48" t="n">
        <v>5.75</v>
      </c>
      <c r="F34" s="47" t="s">
        <v>517</v>
      </c>
      <c r="G34" s="47"/>
      <c r="H34" s="47"/>
    </row>
    <row r="35" customFormat="false" ht="15" hidden="false" customHeight="true" outlineLevel="0" collapsed="false">
      <c r="A35" s="45" t="s">
        <v>76</v>
      </c>
      <c r="B35" s="45" t="s">
        <v>730</v>
      </c>
      <c r="C35" s="45" t="s">
        <v>731</v>
      </c>
      <c r="D35" s="46" t="n">
        <v>5.75</v>
      </c>
      <c r="E35" s="46" t="n">
        <v>5.75</v>
      </c>
      <c r="F35" s="45" t="s">
        <v>546</v>
      </c>
      <c r="G35" s="45" t="s">
        <v>732</v>
      </c>
      <c r="H35" s="45" t="s">
        <v>654</v>
      </c>
    </row>
    <row r="36" customFormat="false" ht="15" hidden="false" customHeight="true" outlineLevel="0" collapsed="false">
      <c r="A36" s="47" t="s">
        <v>67</v>
      </c>
      <c r="B36" s="47" t="s">
        <v>733</v>
      </c>
      <c r="C36" s="47" t="s">
        <v>734</v>
      </c>
      <c r="D36" s="48" t="n">
        <v>5.25</v>
      </c>
      <c r="E36" s="48" t="n">
        <v>5.25</v>
      </c>
      <c r="F36" s="47" t="s">
        <v>429</v>
      </c>
      <c r="G36" s="47" t="s">
        <v>429</v>
      </c>
      <c r="H36" s="47" t="s">
        <v>654</v>
      </c>
    </row>
    <row r="37" customFormat="false" ht="15" hidden="false" customHeight="true" outlineLevel="0" collapsed="false">
      <c r="A37" s="45" t="s">
        <v>67</v>
      </c>
      <c r="B37" s="45" t="s">
        <v>717</v>
      </c>
      <c r="C37" s="45" t="s">
        <v>735</v>
      </c>
      <c r="D37" s="46" t="n">
        <v>5.25</v>
      </c>
      <c r="E37" s="46" t="n">
        <v>5.25</v>
      </c>
      <c r="F37" s="45" t="s">
        <v>429</v>
      </c>
      <c r="G37" s="45" t="s">
        <v>429</v>
      </c>
      <c r="H37" s="45" t="s">
        <v>654</v>
      </c>
    </row>
    <row r="38" customFormat="false" ht="15" hidden="false" customHeight="true" outlineLevel="0" collapsed="false">
      <c r="A38" s="47" t="s">
        <v>57</v>
      </c>
      <c r="B38" s="47" t="s">
        <v>691</v>
      </c>
      <c r="C38" s="47" t="s">
        <v>736</v>
      </c>
      <c r="D38" s="48" t="n">
        <v>5</v>
      </c>
      <c r="E38" s="48" t="n">
        <v>5</v>
      </c>
      <c r="F38" s="47" t="s">
        <v>226</v>
      </c>
      <c r="G38" s="47"/>
      <c r="H38" s="47" t="s">
        <v>737</v>
      </c>
    </row>
    <row r="39" customFormat="false" ht="15" hidden="false" customHeight="true" outlineLevel="0" collapsed="false">
      <c r="A39" s="45" t="s">
        <v>57</v>
      </c>
      <c r="B39" s="45" t="s">
        <v>694</v>
      </c>
      <c r="C39" s="45" t="s">
        <v>738</v>
      </c>
      <c r="D39" s="46" t="n">
        <v>5</v>
      </c>
      <c r="E39" s="46" t="n">
        <v>5</v>
      </c>
      <c r="F39" s="45" t="s">
        <v>226</v>
      </c>
      <c r="G39" s="45"/>
      <c r="H39" s="45" t="s">
        <v>693</v>
      </c>
    </row>
    <row r="40" customFormat="false" ht="15" hidden="false" customHeight="true" outlineLevel="0" collapsed="false">
      <c r="A40" s="47" t="s">
        <v>57</v>
      </c>
      <c r="B40" s="47" t="s">
        <v>673</v>
      </c>
      <c r="C40" s="47" t="s">
        <v>739</v>
      </c>
      <c r="D40" s="48" t="n">
        <v>5</v>
      </c>
      <c r="E40" s="48" t="n">
        <v>5</v>
      </c>
      <c r="F40" s="47" t="s">
        <v>226</v>
      </c>
      <c r="G40" s="47"/>
      <c r="H40" s="47" t="s">
        <v>740</v>
      </c>
    </row>
    <row r="41" customFormat="false" ht="15" hidden="false" customHeight="true" outlineLevel="0" collapsed="false">
      <c r="A41" s="45" t="s">
        <v>57</v>
      </c>
      <c r="B41" s="45" t="s">
        <v>673</v>
      </c>
      <c r="C41" s="45" t="s">
        <v>741</v>
      </c>
      <c r="D41" s="46" t="n">
        <v>5</v>
      </c>
      <c r="E41" s="46" t="n">
        <v>5</v>
      </c>
      <c r="F41" s="45" t="s">
        <v>226</v>
      </c>
      <c r="G41" s="45"/>
      <c r="H41" s="45" t="s">
        <v>737</v>
      </c>
    </row>
    <row r="42" customFormat="false" ht="15" hidden="false" customHeight="true" outlineLevel="0" collapsed="false">
      <c r="A42" s="47" t="s">
        <v>57</v>
      </c>
      <c r="B42" s="47" t="s">
        <v>673</v>
      </c>
      <c r="C42" s="47" t="s">
        <v>742</v>
      </c>
      <c r="D42" s="48" t="n">
        <v>5</v>
      </c>
      <c r="E42" s="48" t="n">
        <v>5</v>
      </c>
      <c r="F42" s="47" t="s">
        <v>226</v>
      </c>
      <c r="G42" s="47"/>
      <c r="H42" s="47" t="s">
        <v>743</v>
      </c>
    </row>
    <row r="43" customFormat="false" ht="15" hidden="false" customHeight="true" outlineLevel="0" collapsed="false">
      <c r="A43" s="45" t="s">
        <v>57</v>
      </c>
      <c r="B43" s="45" t="s">
        <v>702</v>
      </c>
      <c r="C43" s="45" t="s">
        <v>744</v>
      </c>
      <c r="D43" s="46" t="n">
        <v>5</v>
      </c>
      <c r="E43" s="46" t="n">
        <v>5</v>
      </c>
      <c r="F43" s="45" t="s">
        <v>745</v>
      </c>
      <c r="G43" s="45"/>
      <c r="H43" s="45" t="s">
        <v>686</v>
      </c>
    </row>
    <row r="44" customFormat="false" ht="15" hidden="false" customHeight="true" outlineLevel="0" collapsed="false">
      <c r="A44" s="47" t="s">
        <v>57</v>
      </c>
      <c r="B44" s="47" t="s">
        <v>702</v>
      </c>
      <c r="C44" s="47" t="s">
        <v>746</v>
      </c>
      <c r="D44" s="48" t="n">
        <v>5</v>
      </c>
      <c r="E44" s="48" t="n">
        <v>5</v>
      </c>
      <c r="F44" s="47" t="s">
        <v>226</v>
      </c>
      <c r="G44" s="47"/>
      <c r="H44" s="47" t="s">
        <v>747</v>
      </c>
    </row>
    <row r="45" customFormat="false" ht="15" hidden="false" customHeight="true" outlineLevel="0" collapsed="false">
      <c r="A45" s="45" t="s">
        <v>57</v>
      </c>
      <c r="B45" s="45" t="s">
        <v>702</v>
      </c>
      <c r="C45" s="45" t="s">
        <v>748</v>
      </c>
      <c r="D45" s="46" t="n">
        <v>5</v>
      </c>
      <c r="E45" s="46" t="n">
        <v>5</v>
      </c>
      <c r="F45" s="45" t="s">
        <v>226</v>
      </c>
      <c r="G45" s="45"/>
      <c r="H45" s="45" t="s">
        <v>740</v>
      </c>
    </row>
    <row r="46" customFormat="false" ht="15" hidden="false" customHeight="true" outlineLevel="0" collapsed="false">
      <c r="A46" s="47" t="s">
        <v>67</v>
      </c>
      <c r="B46" s="47" t="s">
        <v>720</v>
      </c>
      <c r="C46" s="47" t="s">
        <v>749</v>
      </c>
      <c r="D46" s="48" t="n">
        <v>4.95</v>
      </c>
      <c r="E46" s="48" t="n">
        <v>4.95</v>
      </c>
      <c r="F46" s="47" t="s">
        <v>750</v>
      </c>
      <c r="G46" s="47"/>
      <c r="H46" s="47"/>
    </row>
    <row r="47" customFormat="false" ht="15" hidden="false" customHeight="true" outlineLevel="0" collapsed="false">
      <c r="A47" s="45" t="s">
        <v>67</v>
      </c>
      <c r="B47" s="45" t="s">
        <v>733</v>
      </c>
      <c r="C47" s="45" t="s">
        <v>751</v>
      </c>
      <c r="D47" s="46" t="n">
        <v>4.95</v>
      </c>
      <c r="E47" s="46" t="n">
        <v>4.95</v>
      </c>
      <c r="F47" s="45" t="s">
        <v>750</v>
      </c>
      <c r="G47" s="45" t="s">
        <v>752</v>
      </c>
      <c r="H47" s="45" t="s">
        <v>753</v>
      </c>
    </row>
    <row r="48" customFormat="false" ht="15" hidden="false" customHeight="true" outlineLevel="0" collapsed="false">
      <c r="A48" s="47" t="s">
        <v>76</v>
      </c>
      <c r="B48" s="47" t="s">
        <v>730</v>
      </c>
      <c r="C48" s="47" t="s">
        <v>754</v>
      </c>
      <c r="D48" s="48" t="n">
        <v>4.95</v>
      </c>
      <c r="E48" s="48" t="n">
        <v>4.95</v>
      </c>
      <c r="F48" s="47" t="s">
        <v>580</v>
      </c>
      <c r="G48" s="47" t="s">
        <v>580</v>
      </c>
      <c r="H48" s="47" t="s">
        <v>686</v>
      </c>
    </row>
    <row r="49" customFormat="false" ht="15" hidden="false" customHeight="true" outlineLevel="0" collapsed="false">
      <c r="A49" s="45" t="s">
        <v>51</v>
      </c>
      <c r="B49" s="45" t="s">
        <v>755</v>
      </c>
      <c r="C49" s="45" t="s">
        <v>756</v>
      </c>
      <c r="D49" s="46" t="n">
        <v>1</v>
      </c>
      <c r="E49" s="46" t="n">
        <v>16.25</v>
      </c>
      <c r="F49" s="45" t="s">
        <v>757</v>
      </c>
      <c r="G49" s="45" t="s">
        <v>758</v>
      </c>
      <c r="H49" s="45" t="s">
        <v>686</v>
      </c>
    </row>
    <row r="50" customFormat="false" ht="15" hidden="false" customHeight="true" outlineLevel="0" collapsed="false">
      <c r="A50" s="47" t="s">
        <v>51</v>
      </c>
      <c r="B50" s="47" t="s">
        <v>759</v>
      </c>
      <c r="C50" s="47" t="s">
        <v>760</v>
      </c>
      <c r="D50" s="48" t="n">
        <v>1</v>
      </c>
      <c r="E50" s="48" t="n">
        <v>16.25</v>
      </c>
      <c r="F50" s="47" t="s">
        <v>757</v>
      </c>
      <c r="G50" s="47" t="s">
        <v>758</v>
      </c>
      <c r="H50" s="47" t="s">
        <v>686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0"/>
  </cols>
  <sheetData>
    <row r="1" customFormat="false" ht="15.75" hidden="false" customHeight="true" outlineLevel="0" collapsed="false">
      <c r="A1" s="49" t="s">
        <v>761</v>
      </c>
    </row>
    <row r="3" customFormat="false" ht="49.5" hidden="false" customHeight="true" outlineLevel="0" collapsed="false">
      <c r="A3" s="50" t="s">
        <v>762</v>
      </c>
      <c r="B3" s="51" t="s">
        <v>763</v>
      </c>
    </row>
    <row r="4" customFormat="false" ht="49.5" hidden="false" customHeight="true" outlineLevel="0" collapsed="false">
      <c r="A4" s="50" t="s">
        <v>764</v>
      </c>
      <c r="B4" s="51" t="s">
        <v>765</v>
      </c>
    </row>
    <row r="5" customFormat="false" ht="49.5" hidden="false" customHeight="true" outlineLevel="0" collapsed="false">
      <c r="A5" s="50" t="s">
        <v>766</v>
      </c>
      <c r="B5" s="51" t="s">
        <v>767</v>
      </c>
    </row>
    <row r="6" customFormat="false" ht="49.5" hidden="false" customHeight="true" outlineLevel="0" collapsed="false">
      <c r="A6" s="50" t="s">
        <v>768</v>
      </c>
      <c r="B6" s="51" t="s">
        <v>769</v>
      </c>
    </row>
    <row r="7" customFormat="false" ht="49.5" hidden="false" customHeight="true" outlineLevel="0" collapsed="false">
      <c r="A7" s="50" t="s">
        <v>770</v>
      </c>
      <c r="B7" s="51" t="s">
        <v>771</v>
      </c>
    </row>
    <row r="8" customFormat="false" ht="49.5" hidden="false" customHeight="true" outlineLevel="0" collapsed="false">
      <c r="A8" s="50" t="s">
        <v>772</v>
      </c>
      <c r="B8" s="51" t="s">
        <v>773</v>
      </c>
    </row>
    <row r="9" customFormat="false" ht="49.5" hidden="false" customHeight="true" outlineLevel="0" collapsed="false">
      <c r="A9" s="50" t="s">
        <v>774</v>
      </c>
      <c r="B9" s="51" t="s">
        <v>775</v>
      </c>
    </row>
    <row r="10" customFormat="false" ht="49.5" hidden="false" customHeight="true" outlineLevel="0" collapsed="false">
      <c r="A10" s="50" t="s">
        <v>776</v>
      </c>
      <c r="B10" s="51" t="s">
        <v>777</v>
      </c>
    </row>
    <row r="11" customFormat="false" ht="49.5" hidden="false" customHeight="true" outlineLevel="0" collapsed="false">
      <c r="A11" s="50" t="s">
        <v>778</v>
      </c>
      <c r="B11" s="51" t="s">
        <v>779</v>
      </c>
    </row>
    <row r="12" customFormat="false" ht="49.5" hidden="false" customHeight="true" outlineLevel="0" collapsed="false">
      <c r="A12" s="50" t="s">
        <v>780</v>
      </c>
      <c r="B12" s="51" t="s">
        <v>781</v>
      </c>
    </row>
    <row r="13" customFormat="false" ht="49.5" hidden="false" customHeight="true" outlineLevel="0" collapsed="false">
      <c r="A13" s="50" t="s">
        <v>782</v>
      </c>
      <c r="B13" s="51" t="s">
        <v>783</v>
      </c>
    </row>
    <row r="14" customFormat="false" ht="49.5" hidden="false" customHeight="true" outlineLevel="0" collapsed="false">
      <c r="A14" s="50" t="s">
        <v>784</v>
      </c>
      <c r="B14" s="51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2026-04-17T12:41:32Z</dcterms:created>
  <dc:creator>openpyxl</dc:creator>
  <dc:description/>
  <dc:language>en-US</dc:language>
  <cp:lastModifiedBy/>
  <dcterms:modified xsi:type="dcterms:W3CDTF">2026-04-17T16:36:56Z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